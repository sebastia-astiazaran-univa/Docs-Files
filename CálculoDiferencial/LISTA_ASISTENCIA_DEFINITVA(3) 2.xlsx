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ebastianasti/Documents/UNIVA/CálculoDiferencial/"/>
    </mc:Choice>
  </mc:AlternateContent>
  <xr:revisionPtr revIDLastSave="0" documentId="13_ncr:1_{3825A50E-1A05-3B43-82B9-CB7F31843308}" xr6:coauthVersionLast="47" xr6:coauthVersionMax="47" xr10:uidLastSave="{00000000-0000-0000-0000-000000000000}"/>
  <bookViews>
    <workbookView xWindow="0" yWindow="680" windowWidth="14700" windowHeight="18440" activeTab="1" xr2:uid="{00000000-000D-0000-FFFF-FFFF00000000}"/>
  </bookViews>
  <sheets>
    <sheet name="Resumen de exportación" sheetId="1" r:id="rId1"/>
    <sheet name="Asistencia" sheetId="2" r:id="rId2"/>
    <sheet name="Parcial-1" sheetId="3" r:id="rId3"/>
    <sheet name="Parcial-2"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5" i="4" l="1"/>
  <c r="Z14" i="4"/>
  <c r="Z15" i="4"/>
  <c r="Z16" i="4"/>
  <c r="Z17" i="4"/>
  <c r="Z18" i="4"/>
  <c r="Z19" i="4"/>
  <c r="Z20" i="4"/>
  <c r="Z21" i="4"/>
  <c r="Z22" i="4"/>
  <c r="Z23" i="4"/>
  <c r="Z24" i="4"/>
  <c r="Z25" i="4"/>
  <c r="Z26" i="4"/>
  <c r="Z27" i="4"/>
  <c r="Z28" i="4"/>
  <c r="Z29" i="4"/>
  <c r="Z30" i="4"/>
  <c r="Z31" i="4"/>
  <c r="Z32" i="4"/>
  <c r="Z33" i="4"/>
  <c r="Z34" i="4"/>
  <c r="Z36" i="4"/>
  <c r="Z37" i="4"/>
  <c r="Z38" i="4"/>
  <c r="Z39" i="4"/>
  <c r="Z40" i="4"/>
  <c r="Z41" i="4"/>
  <c r="Z42" i="4"/>
  <c r="Z43" i="4"/>
  <c r="Z44" i="4"/>
  <c r="Z45" i="4"/>
  <c r="Z46" i="4"/>
  <c r="Z47" i="4"/>
  <c r="Z48" i="4"/>
  <c r="Z49" i="4"/>
  <c r="Z13" i="4"/>
  <c r="V14" i="4"/>
  <c r="V15"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13" i="4"/>
  <c r="X49" i="3" a="1"/>
  <c r="X49" i="3" s="1"/>
  <c r="AA49" i="3" s="1" a="1"/>
  <c r="AA49" i="3" s="1"/>
  <c r="X48" i="3" a="1"/>
  <c r="X48" i="3" s="1"/>
  <c r="AA48" i="3" s="1" a="1"/>
  <c r="AA48" i="3" s="1"/>
  <c r="X47" i="3" a="1"/>
  <c r="X47" i="3" s="1"/>
  <c r="AA47" i="3" s="1" a="1"/>
  <c r="AA47" i="3" s="1"/>
  <c r="X46" i="3" a="1"/>
  <c r="X46" i="3" s="1"/>
  <c r="AA46" i="3" s="1" a="1"/>
  <c r="AA46" i="3" s="1"/>
  <c r="X45" i="3" a="1"/>
  <c r="X45" i="3" s="1"/>
  <c r="AA45" i="3" s="1" a="1"/>
  <c r="AA45" i="3" s="1"/>
  <c r="X44" i="3" a="1"/>
  <c r="X44" i="3" s="1"/>
  <c r="AA44" i="3" s="1" a="1"/>
  <c r="AA44" i="3" s="1"/>
  <c r="X43" i="3" a="1"/>
  <c r="X43" i="3" s="1"/>
  <c r="AA43" i="3" s="1" a="1"/>
  <c r="AA43" i="3" s="1"/>
  <c r="X42" i="3" a="1"/>
  <c r="X42" i="3" s="1"/>
  <c r="AA42" i="3" s="1" a="1"/>
  <c r="AA42" i="3" s="1"/>
  <c r="X41" i="3" a="1"/>
  <c r="X41" i="3" s="1"/>
  <c r="AA41" i="3" s="1" a="1"/>
  <c r="AA41" i="3" s="1"/>
  <c r="X40" i="3" a="1"/>
  <c r="X40" i="3" s="1"/>
  <c r="AA40" i="3" s="1" a="1"/>
  <c r="AA40" i="3" s="1"/>
  <c r="X39" i="3" a="1"/>
  <c r="X39" i="3" s="1"/>
  <c r="AA39" i="3" s="1" a="1"/>
  <c r="AA39" i="3" s="1"/>
  <c r="X38" i="3" a="1"/>
  <c r="X38" i="3" s="1"/>
  <c r="AA38" i="3" s="1" a="1"/>
  <c r="AA38" i="3" s="1"/>
  <c r="X37" i="3" a="1"/>
  <c r="X37" i="3" s="1"/>
  <c r="AA37" i="3" s="1" a="1"/>
  <c r="AA37" i="3" s="1"/>
  <c r="AB36" i="3" a="1"/>
  <c r="AB36" i="3" s="1"/>
  <c r="X36" i="3" a="1"/>
  <c r="X36" i="3" s="1"/>
  <c r="AA36" i="3" s="1" a="1"/>
  <c r="AA36" i="3" s="1"/>
  <c r="X35" i="3" a="1"/>
  <c r="X35" i="3" s="1"/>
  <c r="AA35" i="3" s="1" a="1"/>
  <c r="AA35" i="3" s="1"/>
  <c r="X34" i="3" a="1"/>
  <c r="X34" i="3" s="1"/>
  <c r="AA34" i="3" s="1" a="1"/>
  <c r="AA34" i="3" s="1"/>
  <c r="X33" i="3" a="1"/>
  <c r="X33" i="3" s="1"/>
  <c r="AA33" i="3" s="1" a="1"/>
  <c r="AA33" i="3" s="1"/>
  <c r="AB32" i="3" a="1"/>
  <c r="AB32" i="3" s="1"/>
  <c r="X32" i="3" a="1"/>
  <c r="X32" i="3" s="1"/>
  <c r="AA32" i="3" s="1" a="1"/>
  <c r="AA32" i="3" s="1"/>
  <c r="X31" i="3" a="1"/>
  <c r="X31" i="3" s="1"/>
  <c r="AA31" i="3" s="1" a="1"/>
  <c r="AA31" i="3" s="1"/>
  <c r="X30" i="3" a="1"/>
  <c r="X30" i="3" s="1"/>
  <c r="AA30" i="3" s="1" a="1"/>
  <c r="AA30" i="3" s="1"/>
  <c r="X29" i="3" a="1"/>
  <c r="X29" i="3" s="1"/>
  <c r="AA29" i="3" s="1" a="1"/>
  <c r="AA29" i="3" s="1"/>
  <c r="AB28" i="3" a="1"/>
  <c r="AB28" i="3" s="1"/>
  <c r="X28" i="3" a="1"/>
  <c r="X28" i="3" s="1"/>
  <c r="AA28" i="3" s="1" a="1"/>
  <c r="AA28" i="3" s="1"/>
  <c r="X27" i="3" a="1"/>
  <c r="X27" i="3" s="1"/>
  <c r="AA27" i="3" s="1" a="1"/>
  <c r="AA27" i="3" s="1"/>
  <c r="X26" i="3" a="1"/>
  <c r="X26" i="3" s="1"/>
  <c r="AA26" i="3" s="1" a="1"/>
  <c r="AA26" i="3" s="1"/>
  <c r="X25" i="3" a="1"/>
  <c r="X25" i="3" s="1"/>
  <c r="AA25" i="3" s="1" a="1"/>
  <c r="AA25" i="3" s="1"/>
  <c r="X24" i="3" a="1"/>
  <c r="X24" i="3" s="1"/>
  <c r="AA24" i="3" s="1" a="1"/>
  <c r="AA24" i="3" s="1"/>
  <c r="X23" i="3" a="1"/>
  <c r="X23" i="3" s="1"/>
  <c r="AA23" i="3" s="1" a="1"/>
  <c r="AA23" i="3" s="1"/>
  <c r="X22" i="3" a="1"/>
  <c r="X22" i="3" s="1"/>
  <c r="AA22" i="3" s="1" a="1"/>
  <c r="AA22" i="3" s="1"/>
  <c r="X21" i="3" a="1"/>
  <c r="X21" i="3" s="1"/>
  <c r="AA21" i="3" s="1" a="1"/>
  <c r="AA21" i="3" s="1"/>
  <c r="X20" i="3" a="1"/>
  <c r="X20" i="3" s="1"/>
  <c r="AA20" i="3" s="1" a="1"/>
  <c r="AA20" i="3" s="1"/>
  <c r="X19" i="3" a="1"/>
  <c r="X19" i="3" s="1"/>
  <c r="AA19" i="3" s="1" a="1"/>
  <c r="AA19" i="3" s="1"/>
  <c r="X18" i="3" a="1"/>
  <c r="X18" i="3" s="1"/>
  <c r="AA18" i="3" s="1" a="1"/>
  <c r="AA18" i="3" s="1"/>
  <c r="X17" i="3" a="1"/>
  <c r="X17" i="3" s="1"/>
  <c r="AA17" i="3" s="1" a="1"/>
  <c r="AA17" i="3" s="1"/>
  <c r="X16" i="3" a="1"/>
  <c r="X16" i="3" s="1"/>
  <c r="AA16" i="3" s="1" a="1"/>
  <c r="AA16" i="3" s="1"/>
  <c r="X15" i="3" a="1"/>
  <c r="X15" i="3" s="1"/>
  <c r="AA15" i="3" s="1" a="1"/>
  <c r="AA15" i="3" s="1"/>
  <c r="X14" i="3" a="1"/>
  <c r="X14" i="3" s="1"/>
  <c r="AA14" i="3" s="1" a="1"/>
  <c r="AA14" i="3" s="1"/>
  <c r="X13" i="3" a="1"/>
  <c r="X13" i="3" s="1"/>
  <c r="AA13" i="3" s="1" a="1"/>
  <c r="AA1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<sst xmlns="http://schemas.openxmlformats.org/spreadsheetml/2006/main" count="1125" uniqueCount="176">
  <si>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</si>
  <si>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</si>
  <si>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</si>
  <si>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</si>
  <si>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Sheet1</t>
  </si>
  <si>
    <t>Tabla 1</t>
  </si>
  <si>
    <t>LISTA DE ASISTENCIA DEFINITIVA</t>
  </si>
  <si>
    <t>BACHILLERATO</t>
  </si>
  <si>
    <t>PERIODO</t>
  </si>
  <si>
    <t>SEMESTRE</t>
  </si>
  <si>
    <t>TURNO</t>
  </si>
  <si>
    <t>GRUPO</t>
  </si>
  <si>
    <t>FOLIO</t>
  </si>
  <si>
    <t>NIVEL</t>
  </si>
  <si>
    <t>ETAPA</t>
  </si>
  <si>
    <t>Bach Tec en Medios de Com (BETMC37)</t>
  </si>
  <si>
    <t>2026-2</t>
  </si>
  <si>
    <t>4S</t>
  </si>
  <si>
    <t>M</t>
  </si>
  <si>
    <t>01</t>
  </si>
  <si>
    <t>00602</t>
  </si>
  <si>
    <t>BET</t>
  </si>
  <si>
    <t>ORD</t>
  </si>
  <si>
    <t xml:space="preserve">                   </t>
  </si>
  <si>
    <t>CLAVE</t>
  </si>
  <si>
    <t>N CLASE</t>
  </si>
  <si>
    <t>MATERIA</t>
  </si>
  <si>
    <t>MAESTRO</t>
  </si>
  <si>
    <t>497</t>
  </si>
  <si>
    <t>1265</t>
  </si>
  <si>
    <t>Cálculo</t>
  </si>
  <si>
    <t>ASTIAZARÁN LÓPEZ SEBASTIÁN</t>
  </si>
  <si>
    <t>N</t>
  </si>
  <si>
    <t>NOMBRE</t>
  </si>
  <si>
    <t>MATRÍCULA</t>
  </si>
  <si>
    <t>ESTATUS</t>
  </si>
  <si>
    <t>ASISTENCIA</t>
  </si>
  <si>
    <t>1</t>
  </si>
  <si>
    <t>ARANA QUIROZ DAMIAN</t>
  </si>
  <si>
    <t>0022510350</t>
  </si>
  <si>
    <t>AC</t>
  </si>
  <si>
    <t>BETMC37</t>
  </si>
  <si>
    <t>x</t>
  </si>
  <si>
    <t>2</t>
  </si>
  <si>
    <t>BAEZA CASTILLO JUAN PABLO</t>
  </si>
  <si>
    <t>0022510485</t>
  </si>
  <si>
    <t>3</t>
  </si>
  <si>
    <t>BELMONTE JAUREGUI DANIEL</t>
  </si>
  <si>
    <t>0022510660</t>
  </si>
  <si>
    <t>4</t>
  </si>
  <si>
    <t>BOTELLO ALMONTE GONZALO</t>
  </si>
  <si>
    <t>0022510514</t>
  </si>
  <si>
    <t>5</t>
  </si>
  <si>
    <t>CARRILLO FLORES ROMINA</t>
  </si>
  <si>
    <t>0022510792</t>
  </si>
  <si>
    <t>6</t>
  </si>
  <si>
    <t>CATANEO SERRATO MARIA FERNANDA</t>
  </si>
  <si>
    <t>0022510453</t>
  </si>
  <si>
    <t>7</t>
  </si>
  <si>
    <t>DE LEON GONZALEZ SANTIAGO DANIEL</t>
  </si>
  <si>
    <t>0022510092</t>
  </si>
  <si>
    <t>8</t>
  </si>
  <si>
    <t>DIAZ GALVAN ROQUE ADRIAN</t>
  </si>
  <si>
    <t>0022510770</t>
  </si>
  <si>
    <t>9</t>
  </si>
  <si>
    <t>ESPINOSA DE LOS MONTEROS ARIAS FATIMA</t>
  </si>
  <si>
    <t>0022510694</t>
  </si>
  <si>
    <t>10</t>
  </si>
  <si>
    <t>FIGUEROA MOLINA SANTIAGO</t>
  </si>
  <si>
    <t>0022510663</t>
  </si>
  <si>
    <t>11</t>
  </si>
  <si>
    <t>FREGOSO PEREA SEBASTIAN</t>
  </si>
  <si>
    <t>0022510724</t>
  </si>
  <si>
    <t>12</t>
  </si>
  <si>
    <t>GABRIEL GOMEZ ANGEL LORENZO</t>
  </si>
  <si>
    <t>0022510127</t>
  </si>
  <si>
    <t>13</t>
  </si>
  <si>
    <t>GOMEZ AGUIAR ALEXA NICOLLE</t>
  </si>
  <si>
    <t>0022510758</t>
  </si>
  <si>
    <t>14</t>
  </si>
  <si>
    <t>GONZALEZ GUZMAN LEONARDO</t>
  </si>
  <si>
    <t>0022510520</t>
  </si>
  <si>
    <t>15</t>
  </si>
  <si>
    <t>GUERRERO SORIANO ANDREA</t>
  </si>
  <si>
    <t>0022510410</t>
  </si>
  <si>
    <t>16</t>
  </si>
  <si>
    <t>LEON MOLINA ANA KAROL</t>
  </si>
  <si>
    <t>0022510366</t>
  </si>
  <si>
    <t>17</t>
  </si>
  <si>
    <t>LOPEZ ACEVES VALENTINA</t>
  </si>
  <si>
    <t>0022510301</t>
  </si>
  <si>
    <t>18</t>
  </si>
  <si>
    <t>LOPEZ PARRA IULIANNA DANIELLE</t>
  </si>
  <si>
    <t>0022510139</t>
  </si>
  <si>
    <t>19</t>
  </si>
  <si>
    <t>LOPEZ PLASCENCIA MIRANDA REGINA</t>
  </si>
  <si>
    <t>0022510373</t>
  </si>
  <si>
    <t>20</t>
  </si>
  <si>
    <t>LOPEZ ROSALES NATALIA GABRIELA</t>
  </si>
  <si>
    <t>0022510666</t>
  </si>
  <si>
    <t>21</t>
  </si>
  <si>
    <t>MARTINEZ RAMIREZ ARLET ESTEFANIA</t>
  </si>
  <si>
    <t>0022510325</t>
  </si>
  <si>
    <t>22</t>
  </si>
  <si>
    <t>MENDEZ PEGUEROS LEONARDO</t>
  </si>
  <si>
    <t>0022510219</t>
  </si>
  <si>
    <t>23</t>
  </si>
  <si>
    <t>MOLINA MARQUEZ SARA SOFIA</t>
  </si>
  <si>
    <t>0022510023</t>
  </si>
  <si>
    <t>24</t>
  </si>
  <si>
    <t>RAMIREZ GUERRERO GABRIELA</t>
  </si>
  <si>
    <t>0022510257</t>
  </si>
  <si>
    <t>25</t>
  </si>
  <si>
    <t>RAMOS PEREZ ANA VICTORIA</t>
  </si>
  <si>
    <t>0022510221</t>
  </si>
  <si>
    <t>26</t>
  </si>
  <si>
    <t>RIVERA GOMEZ JUANPABLO</t>
  </si>
  <si>
    <t>0022510653</t>
  </si>
  <si>
    <t>IN</t>
  </si>
  <si>
    <t>27</t>
  </si>
  <si>
    <t>ROBLES CAMPOS ROMINA</t>
  </si>
  <si>
    <t>0022510276</t>
  </si>
  <si>
    <t>28</t>
  </si>
  <si>
    <t>ROBLES MACIAS VALENTINA</t>
  </si>
  <si>
    <t>0022510449</t>
  </si>
  <si>
    <t>29</t>
  </si>
  <si>
    <t>RODRIGUEZ HERNANDEZ MARIAJOSE</t>
  </si>
  <si>
    <t>0022510717</t>
  </si>
  <si>
    <t>30</t>
  </si>
  <si>
    <t>ROMO ANGEL ANDREA ELIZABETH</t>
  </si>
  <si>
    <t>0022510860</t>
  </si>
  <si>
    <t>31</t>
  </si>
  <si>
    <t>ROMO ESTEVES JUAN PABLO</t>
  </si>
  <si>
    <t>0022510425</t>
  </si>
  <si>
    <t>32</t>
  </si>
  <si>
    <t>TASSINARI SALDAÑA FABRIZIO</t>
  </si>
  <si>
    <t>0022510740</t>
  </si>
  <si>
    <t>33</t>
  </si>
  <si>
    <t>TISCAREÑO ALVAREZ ALEXA REGINA</t>
  </si>
  <si>
    <t>0022510793</t>
  </si>
  <si>
    <t>34</t>
  </si>
  <si>
    <t>URRUTIA SAAVEDRA DIEGO CALEB</t>
  </si>
  <si>
    <t>0022510240</t>
  </si>
  <si>
    <t>35</t>
  </si>
  <si>
    <t>VALENZUELA MAGAÑA MICHELLE</t>
  </si>
  <si>
    <t>0022510765</t>
  </si>
  <si>
    <t>36</t>
  </si>
  <si>
    <t>VALLES ARMAS CHRISTOPHER</t>
  </si>
  <si>
    <t>0022510592</t>
  </si>
  <si>
    <t>Sheet1-1</t>
  </si>
  <si>
    <t>Examen</t>
  </si>
  <si>
    <t>Libro</t>
  </si>
  <si>
    <t>Final</t>
  </si>
  <si>
    <t>Na</t>
  </si>
  <si>
    <t>Good</t>
  </si>
  <si>
    <t>Digital</t>
  </si>
  <si>
    <t>Late</t>
  </si>
  <si>
    <t>X</t>
  </si>
  <si>
    <t>PANO GLENNIE JEAN EMMANUEL</t>
  </si>
  <si>
    <t>GOod</t>
  </si>
  <si>
    <t>Hoja 1</t>
  </si>
  <si>
    <t>Tabla 1-1</t>
  </si>
  <si>
    <t>Hoja 1 - Tabla 1-1</t>
  </si>
  <si>
    <t>Tarea #1</t>
  </si>
  <si>
    <t>Extras</t>
  </si>
  <si>
    <t>Tarea #2</t>
  </si>
  <si>
    <t>Extra</t>
  </si>
  <si>
    <t>Tarea #3</t>
  </si>
  <si>
    <t>No examen</t>
  </si>
  <si>
    <t>Hoja 1 - Tabla 1</t>
  </si>
  <si>
    <t>Final Real</t>
  </si>
  <si>
    <t>0</t>
  </si>
  <si>
    <t>100</t>
  </si>
  <si>
    <t>Examen %</t>
  </si>
  <si>
    <t>chatgpt</t>
  </si>
  <si>
    <t>Jean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</si>
</sst>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indexed="8"/>
      <name val="Calibri"/>
    </font>
    <font>
      <sz val="12"/>
      <color indexed="8"/>
      <name val="Calibri"/>
      <family val="2"/>
    </font>
    <font>
      <sz val="14"/>
      <color indexed="8"/>
      <name val="Calibri"/>
      <family val="2"/>
    </font>
    <font>
      <u/>
      <sz val="12"/>
      <color indexed="11"/>
      <name val="Calibri"/>
      <family val="2"/>
    </font>
    <font>
      <b/>
      <sz val="16"/>
      <color indexed="8"/>
      <name val="Calibri"/>
      <family val="2"/>
    </font>
    <font>
      <b/>
      <sz val="10"/>
      <color indexed="8"/>
      <name val="Calibri"/>
      <family val="2"/>
    </font>
    <font>
      <sz val="10"/>
      <color indexed="8"/>
      <name val="Calibri"/>
      <family val="2"/>
    </font>
    <font>
      <sz val="5"/>
      <color indexed="8"/>
      <name val="Aptos"/>
    </font>
    <font>
      <sz val="8"/>
      <color indexed="8"/>
      <name val="Calibri"/>
      <family val="2"/>
    </font>
    <font>
      <sz val="11"/>
      <color indexed="8"/>
      <name val="Calibri"/>
      <family val="2"/>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43">
    <border>
      <left/>
      <right/>
      <top/>
      <bottom/>
      <diagonal/>
    </border>
    <border>
      <left style="thin">
        <color indexed="12"/>
      </left>
      <right style="thin">
        <color indexed="12"/>
      </right>
      <top style="thin">
        <color indexed="12"/>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style="thin">
        <color indexed="13"/>
      </top>
      <bottom/>
      <diagonal/>
    </border>
    <border>
      <left/>
      <right style="thin">
        <color indexed="13"/>
      </right>
      <top style="thin">
        <color indexed="13"/>
      </top>
      <bottom/>
      <diagonal/>
    </border>
    <border>
      <left style="thin">
        <color indexed="12"/>
      </left>
      <right style="thin">
        <color indexed="12"/>
      </right>
      <top/>
      <bottom/>
      <diagonal/>
    </border>
    <border>
      <left style="thin">
        <color indexed="12"/>
      </left>
      <right/>
      <top/>
      <bottom/>
      <diagonal/>
    </border>
    <border>
      <left/>
      <right/>
      <top/>
      <bottom/>
      <diagonal/>
    </border>
    <border>
      <left/>
      <right style="thin">
        <color indexed="12"/>
      </right>
      <top/>
      <bottom/>
      <diagonal/>
    </border>
    <border>
      <left/>
      <right style="thin">
        <color indexed="13"/>
      </right>
      <top/>
      <bottom/>
      <diagonal/>
    </border>
    <border>
      <left style="thin">
        <color indexed="12"/>
      </left>
      <right style="thin">
        <color indexed="12"/>
      </right>
      <top/>
      <bottom style="thin">
        <color indexed="12"/>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12"/>
      </left>
      <right style="thin">
        <color indexed="8"/>
      </right>
      <top style="thin">
        <color indexed="12"/>
      </top>
      <bottom style="thin">
        <color indexed="12"/>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12"/>
      </right>
      <top style="thin">
        <color indexed="8"/>
      </top>
      <bottom style="thin">
        <color indexed="8"/>
      </bottom>
      <diagonal/>
    </border>
    <border>
      <left style="thin">
        <color indexed="12"/>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13"/>
      </left>
      <right/>
      <top style="thin">
        <color indexed="12"/>
      </top>
      <bottom style="thin">
        <color indexed="12"/>
      </bottom>
      <diagonal/>
    </border>
    <border>
      <left/>
      <right/>
      <top style="thin">
        <color indexed="8"/>
      </top>
      <bottom style="thin">
        <color indexed="12"/>
      </bottom>
      <diagonal/>
    </border>
    <border>
      <left style="thin">
        <color indexed="12"/>
      </left>
      <right/>
      <top style="thin">
        <color indexed="12"/>
      </top>
      <bottom style="thin">
        <color indexed="12"/>
      </bottom>
      <diagonal/>
    </border>
    <border>
      <left/>
      <right style="thin">
        <color indexed="8"/>
      </right>
      <top style="thin">
        <color indexed="12"/>
      </top>
      <bottom style="thin">
        <color indexed="12"/>
      </bottom>
      <diagonal/>
    </border>
    <border>
      <left style="thin">
        <color indexed="8"/>
      </left>
      <right style="thin">
        <color indexed="12"/>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8"/>
      </left>
      <right style="thin">
        <color indexed="13"/>
      </right>
      <top/>
      <bottom/>
      <diagonal/>
    </border>
    <border>
      <left style="thin">
        <color indexed="12"/>
      </left>
      <right/>
      <top style="thin">
        <color indexed="12"/>
      </top>
      <bottom style="thin">
        <color indexed="8"/>
      </bottom>
      <diagonal/>
    </border>
    <border>
      <left/>
      <right style="thin">
        <color indexed="12"/>
      </right>
      <top style="thin">
        <color indexed="12"/>
      </top>
      <bottom style="thin">
        <color indexed="8"/>
      </bottom>
      <diagonal/>
    </border>
    <border>
      <left style="thin">
        <color indexed="12"/>
      </left>
      <right style="thin">
        <color indexed="13"/>
      </right>
      <top/>
      <bottom/>
      <diagonal/>
    </border>
    <border>
      <left style="thin">
        <color indexed="8"/>
      </left>
      <right style="thin">
        <color indexed="8"/>
      </right>
      <top style="thin">
        <color indexed="8"/>
      </top>
      <bottom style="thin">
        <color indexed="8"/>
      </bottom>
      <diagonal/>
    </border>
    <border>
      <left style="thin">
        <color indexed="13"/>
      </left>
      <right/>
      <top style="thin">
        <color indexed="8"/>
      </top>
      <bottom/>
      <diagonal/>
    </border>
    <border>
      <left/>
      <right/>
      <top style="thin">
        <color indexed="8"/>
      </top>
      <bottom/>
      <diagonal/>
    </border>
    <border>
      <left style="thin">
        <color indexed="13"/>
      </left>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top/>
      <bottom style="thin">
        <color indexed="8"/>
      </bottom>
      <diagonal/>
    </border>
    <border>
      <left/>
      <right style="thin">
        <color indexed="13"/>
      </right>
      <top/>
      <bottom style="thin">
        <color indexed="8"/>
      </bottom>
      <diagonal/>
    </border>
    <border>
      <left style="thin">
        <color indexed="8"/>
      </left>
      <right style="thin">
        <color indexed="13"/>
      </right>
      <top style="thin">
        <color indexed="8"/>
      </top>
      <bottom style="thin">
        <color indexed="8"/>
      </bottom>
      <diagonal/>
    </border>
  </borders>
  <cellStyleXfs count="1">
    <xf numFmtId="0" fontId="0" fillId="0" borderId="0" applyNumberFormat="0" applyFill="0" applyBorder="0" applyProtection="0"/>
  </cellStyleXfs>
  <cellXfs count="125">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5" xfId="0" applyBorder="1"/>
    <xf numFmtId="0" fontId="0" fillId="0" borderId="6" xfId="0" applyBorder="1"/>
    <xf numFmtId="0" fontId="0" fillId="4" borderId="8" xfId="0" applyFill="1" applyBorder="1" applyAlignment="1">
      <alignment vertical="top" wrapText="1"/>
    </xf>
    <xf numFmtId="0" fontId="0" fillId="0" borderId="9" xfId="0" applyBorder="1"/>
    <xf numFmtId="0" fontId="0" fillId="4" borderId="10" xfId="0" applyFill="1" applyBorder="1" applyAlignment="1">
      <alignment vertical="top" wrapText="1"/>
    </xf>
    <xf numFmtId="0" fontId="0" fillId="0" borderId="8" xfId="0" applyBorder="1"/>
    <xf numFmtId="0" fontId="0" fillId="0" borderId="11" xfId="0" applyBorder="1"/>
    <xf numFmtId="0" fontId="0" fillId="4" borderId="13" xfId="0" applyFill="1" applyBorder="1" applyAlignment="1">
      <alignment vertical="top" wrapText="1"/>
    </xf>
    <xf numFmtId="0" fontId="0" fillId="4" borderId="14" xfId="0" applyFill="1" applyBorder="1" applyAlignment="1">
      <alignment vertical="top" wrapText="1"/>
    </xf>
    <xf numFmtId="0" fontId="0" fillId="4" borderId="15" xfId="0" applyFill="1" applyBorder="1" applyAlignment="1">
      <alignment vertical="top" wrapText="1"/>
    </xf>
    <xf numFmtId="0" fontId="0" fillId="4" borderId="16" xfId="0" applyFill="1" applyBorder="1" applyAlignment="1">
      <alignment horizontal="left" vertical="top" wrapText="1"/>
    </xf>
    <xf numFmtId="0" fontId="0" fillId="0" borderId="22" xfId="0" applyBorder="1"/>
    <xf numFmtId="49" fontId="5" fillId="4" borderId="27" xfId="0" applyNumberFormat="1" applyFont="1" applyFill="1" applyBorder="1" applyAlignment="1">
      <alignment horizontal="center" vertical="center" wrapText="1"/>
    </xf>
    <xf numFmtId="49" fontId="5" fillId="4" borderId="28" xfId="0" applyNumberFormat="1" applyFont="1" applyFill="1" applyBorder="1" applyAlignment="1">
      <alignment horizontal="center" vertical="center" wrapText="1"/>
    </xf>
    <xf numFmtId="0" fontId="0" fillId="0" borderId="29" xfId="0" applyBorder="1"/>
    <xf numFmtId="49" fontId="6" fillId="4" borderId="27" xfId="0" applyNumberFormat="1" applyFont="1" applyFill="1" applyBorder="1" applyAlignment="1">
      <alignment horizontal="center" vertical="center" wrapText="1"/>
    </xf>
    <xf numFmtId="49" fontId="6" fillId="4" borderId="28" xfId="0" applyNumberFormat="1" applyFont="1" applyFill="1" applyBorder="1" applyAlignment="1">
      <alignment horizontal="center" vertical="center" wrapText="1"/>
    </xf>
    <xf numFmtId="0" fontId="0" fillId="4" borderId="28" xfId="0" applyFill="1" applyBorder="1" applyAlignment="1">
      <alignment horizontal="left" vertical="center" wrapText="1"/>
    </xf>
    <xf numFmtId="0" fontId="0" fillId="0" borderId="32" xfId="0" applyBorder="1"/>
    <xf numFmtId="49" fontId="5" fillId="4" borderId="33" xfId="0" applyNumberFormat="1" applyFont="1" applyFill="1" applyBorder="1" applyAlignment="1">
      <alignment horizontal="center" vertical="top" wrapText="1"/>
    </xf>
    <xf numFmtId="49" fontId="6" fillId="4" borderId="33" xfId="0" applyNumberFormat="1" applyFont="1" applyFill="1" applyBorder="1" applyAlignment="1">
      <alignment horizontal="center" vertical="top" wrapText="1"/>
    </xf>
    <xf numFmtId="49" fontId="0" fillId="4" borderId="33" xfId="0" applyNumberFormat="1" applyFill="1" applyBorder="1" applyAlignment="1">
      <alignment horizontal="left" vertical="center" wrapText="1"/>
    </xf>
    <xf numFmtId="0" fontId="0" fillId="4" borderId="33" xfId="0" applyFill="1" applyBorder="1" applyAlignment="1">
      <alignment horizontal="left" vertical="center" wrapText="1"/>
    </xf>
    <xf numFmtId="0" fontId="6" fillId="4" borderId="33" xfId="0" applyFont="1" applyFill="1" applyBorder="1" applyAlignment="1">
      <alignment horizontal="center" vertical="top" wrapText="1"/>
    </xf>
    <xf numFmtId="0" fontId="0" fillId="4" borderId="33" xfId="0" applyNumberFormat="1" applyFill="1" applyBorder="1" applyAlignment="1">
      <alignment horizontal="left" vertical="center" wrapText="1"/>
    </xf>
    <xf numFmtId="0" fontId="6" fillId="4" borderId="33" xfId="0" applyNumberFormat="1" applyFont="1" applyFill="1" applyBorder="1" applyAlignment="1">
      <alignment horizontal="center" vertical="top" wrapText="1"/>
    </xf>
    <xf numFmtId="0" fontId="0" fillId="5" borderId="29" xfId="0" applyFill="1" applyBorder="1"/>
    <xf numFmtId="0" fontId="9" fillId="4" borderId="33" xfId="0" applyFont="1" applyFill="1" applyBorder="1" applyAlignment="1">
      <alignment horizontal="left" vertical="center" wrapText="1"/>
    </xf>
    <xf numFmtId="0" fontId="9" fillId="4" borderId="33" xfId="0" applyNumberFormat="1" applyFont="1" applyFill="1" applyBorder="1" applyAlignment="1">
      <alignment horizontal="left" vertical="center" wrapText="1"/>
    </xf>
    <xf numFmtId="0" fontId="0" fillId="4" borderId="17" xfId="0" applyFill="1" applyBorder="1" applyAlignment="1">
      <alignment horizontal="left" vertical="center" wrapText="1"/>
    </xf>
    <xf numFmtId="0" fontId="0" fillId="4" borderId="21" xfId="0" applyFill="1" applyBorder="1" applyAlignment="1">
      <alignment horizontal="left" vertical="center" wrapText="1"/>
    </xf>
    <xf numFmtId="49" fontId="6" fillId="4" borderId="17" xfId="0" applyNumberFormat="1" applyFont="1" applyFill="1" applyBorder="1" applyAlignment="1">
      <alignment horizontal="left" vertical="top" wrapText="1"/>
    </xf>
    <xf numFmtId="49" fontId="6" fillId="4" borderId="17" xfId="0" applyNumberFormat="1" applyFont="1" applyFill="1" applyBorder="1" applyAlignment="1">
      <alignment horizontal="center" vertical="top" wrapText="1"/>
    </xf>
    <xf numFmtId="0" fontId="6" fillId="4" borderId="21" xfId="0" applyFont="1" applyFill="1" applyBorder="1" applyAlignment="1">
      <alignment horizontal="center" vertical="top" wrapText="1"/>
    </xf>
    <xf numFmtId="0" fontId="6" fillId="4" borderId="18" xfId="0" applyFont="1" applyFill="1" applyBorder="1" applyAlignment="1">
      <alignment horizontal="left" vertical="top" wrapText="1"/>
    </xf>
    <xf numFmtId="0" fontId="6" fillId="4" borderId="21" xfId="0" applyFont="1" applyFill="1" applyBorder="1" applyAlignment="1">
      <alignment horizontal="left" vertical="top" wrapText="1"/>
    </xf>
    <xf numFmtId="0" fontId="0" fillId="4" borderId="1" xfId="0" applyFill="1" applyBorder="1" applyAlignment="1">
      <alignment horizontal="left" vertical="top" wrapText="1"/>
    </xf>
    <xf numFmtId="0" fontId="0" fillId="4" borderId="7" xfId="0" applyFill="1" applyBorder="1" applyAlignment="1">
      <alignment horizontal="left" vertical="top" wrapText="1"/>
    </xf>
    <xf numFmtId="0" fontId="0" fillId="4" borderId="12" xfId="0" applyFill="1" applyBorder="1" applyAlignment="1">
      <alignment horizontal="left" vertical="top" wrapText="1"/>
    </xf>
    <xf numFmtId="0" fontId="0" fillId="4" borderId="2"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8" xfId="0" applyFill="1" applyBorder="1" applyAlignment="1">
      <alignment horizontal="left" vertical="top" wrapText="1"/>
    </xf>
    <xf numFmtId="0" fontId="0" fillId="4" borderId="10" xfId="0" applyFill="1" applyBorder="1" applyAlignment="1">
      <alignment horizontal="left" vertical="top" wrapText="1"/>
    </xf>
    <xf numFmtId="0" fontId="0" fillId="4" borderId="13" xfId="0" applyFill="1" applyBorder="1" applyAlignment="1">
      <alignment horizontal="left" vertical="top" wrapText="1"/>
    </xf>
    <xf numFmtId="0" fontId="0" fillId="4" borderId="15" xfId="0" applyFill="1" applyBorder="1" applyAlignment="1">
      <alignment horizontal="left" vertical="top" wrapText="1"/>
    </xf>
    <xf numFmtId="49" fontId="4" fillId="4" borderId="2" xfId="0"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0" fontId="0" fillId="0" borderId="3" xfId="0" applyBorder="1"/>
    <xf numFmtId="0" fontId="4" fillId="4" borderId="4"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0" fillId="0" borderId="9" xfId="0" applyBorder="1"/>
    <xf numFmtId="0" fontId="4" fillId="4" borderId="10"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0" fillId="0" borderId="14" xfId="0" applyBorder="1"/>
    <xf numFmtId="0" fontId="4" fillId="4" borderId="15" xfId="0" applyFont="1" applyFill="1" applyBorder="1" applyAlignment="1">
      <alignment horizontal="center" vertical="center" wrapText="1"/>
    </xf>
    <xf numFmtId="49" fontId="5" fillId="4" borderId="17" xfId="0" applyNumberFormat="1"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4" borderId="19" xfId="0" applyFont="1" applyFill="1" applyBorder="1" applyAlignment="1">
      <alignment horizontal="center" vertical="center" wrapText="1"/>
    </xf>
    <xf numFmtId="49" fontId="5" fillId="4" borderId="20" xfId="0" applyNumberFormat="1" applyFont="1" applyFill="1" applyBorder="1" applyAlignment="1">
      <alignment horizontal="center" vertical="center" wrapText="1"/>
    </xf>
    <xf numFmtId="0" fontId="0" fillId="0" borderId="18" xfId="0" applyBorder="1"/>
    <xf numFmtId="0" fontId="5" fillId="4" borderId="21" xfId="0" applyFont="1" applyFill="1" applyBorder="1" applyAlignment="1">
      <alignment horizontal="center" vertical="center" wrapText="1"/>
    </xf>
    <xf numFmtId="49" fontId="6" fillId="4" borderId="17" xfId="0" applyNumberFormat="1"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49" fontId="6" fillId="4" borderId="20" xfId="0" applyNumberFormat="1" applyFont="1" applyFill="1" applyBorder="1" applyAlignment="1">
      <alignment horizontal="center" vertical="center" wrapText="1"/>
    </xf>
    <xf numFmtId="0" fontId="6" fillId="4" borderId="21" xfId="0" applyFont="1" applyFill="1" applyBorder="1" applyAlignment="1">
      <alignment horizontal="center" vertical="center" wrapText="1"/>
    </xf>
    <xf numFmtId="0" fontId="7" fillId="0" borderId="23" xfId="0" applyFont="1" applyBorder="1" applyAlignment="1">
      <alignment horizontal="left"/>
    </xf>
    <xf numFmtId="0" fontId="7" fillId="0" borderId="24" xfId="0" applyFont="1" applyBorder="1" applyAlignment="1">
      <alignment horizontal="left"/>
    </xf>
    <xf numFmtId="0" fontId="7" fillId="0" borderId="18" xfId="0" applyFont="1" applyBorder="1" applyAlignment="1">
      <alignment horizontal="left"/>
    </xf>
    <xf numFmtId="0" fontId="7" fillId="0" borderId="14" xfId="0" applyFont="1" applyBorder="1" applyAlignment="1">
      <alignment horizontal="left"/>
    </xf>
    <xf numFmtId="0" fontId="7" fillId="0" borderId="11" xfId="0" applyFont="1" applyBorder="1" applyAlignment="1">
      <alignment horizontal="left"/>
    </xf>
    <xf numFmtId="0" fontId="0" fillId="4" borderId="25" xfId="0" applyFill="1" applyBorder="1" applyAlignment="1">
      <alignment horizontal="left" vertical="top" wrapText="1"/>
    </xf>
    <xf numFmtId="0" fontId="0" fillId="4" borderId="26" xfId="0" applyFill="1" applyBorder="1" applyAlignment="1">
      <alignment horizontal="left" vertical="top" wrapText="1"/>
    </xf>
    <xf numFmtId="0" fontId="0" fillId="4" borderId="30" xfId="0" applyFill="1" applyBorder="1" applyAlignment="1">
      <alignment horizontal="left" vertical="top" wrapText="1"/>
    </xf>
    <xf numFmtId="0" fontId="0" fillId="4" borderId="31" xfId="0" applyFill="1" applyBorder="1" applyAlignment="1">
      <alignment horizontal="left" vertical="top" wrapText="1"/>
    </xf>
    <xf numFmtId="0" fontId="0" fillId="4" borderId="18" xfId="0" applyFill="1" applyBorder="1" applyAlignment="1">
      <alignment horizontal="left" vertical="center" wrapText="1"/>
    </xf>
    <xf numFmtId="0" fontId="0" fillId="4" borderId="19" xfId="0" applyFill="1" applyBorder="1" applyAlignment="1">
      <alignment horizontal="left" vertical="center" wrapText="1"/>
    </xf>
    <xf numFmtId="0" fontId="0" fillId="4" borderId="20" xfId="0" applyFill="1" applyBorder="1" applyAlignment="1">
      <alignment horizontal="left" vertical="center" wrapText="1"/>
    </xf>
    <xf numFmtId="49" fontId="5" fillId="4" borderId="17" xfId="0" applyNumberFormat="1" applyFont="1" applyFill="1" applyBorder="1" applyAlignment="1">
      <alignment horizontal="center" vertical="top" wrapText="1"/>
    </xf>
    <xf numFmtId="0" fontId="5" fillId="4" borderId="21" xfId="0" applyFont="1" applyFill="1" applyBorder="1" applyAlignment="1">
      <alignment horizontal="center" vertical="top" wrapText="1"/>
    </xf>
    <xf numFmtId="0" fontId="5" fillId="4" borderId="18" xfId="0" applyFont="1" applyFill="1" applyBorder="1" applyAlignment="1">
      <alignment horizontal="center" vertical="top" wrapText="1"/>
    </xf>
    <xf numFmtId="49" fontId="6" fillId="4" borderId="17" xfId="0" applyNumberFormat="1" applyFont="1" applyFill="1" applyBorder="1" applyAlignment="1">
      <alignment horizontal="center" vertical="top" wrapText="1"/>
    </xf>
    <xf numFmtId="0" fontId="6" fillId="4" borderId="21" xfId="0" applyFont="1" applyFill="1" applyBorder="1" applyAlignment="1">
      <alignment horizontal="center" vertical="top" wrapText="1"/>
    </xf>
    <xf numFmtId="49" fontId="6" fillId="4" borderId="17" xfId="0" applyNumberFormat="1" applyFont="1" applyFill="1" applyBorder="1" applyAlignment="1">
      <alignment horizontal="left" vertical="top" wrapText="1"/>
    </xf>
    <xf numFmtId="0" fontId="6" fillId="4" borderId="18" xfId="0" applyFont="1" applyFill="1" applyBorder="1" applyAlignment="1">
      <alignment horizontal="left" vertical="top" wrapText="1"/>
    </xf>
    <xf numFmtId="0" fontId="6" fillId="4" borderId="21" xfId="0" applyFont="1" applyFill="1" applyBorder="1" applyAlignment="1">
      <alignment horizontal="left" vertical="top" wrapText="1"/>
    </xf>
    <xf numFmtId="0" fontId="0" fillId="4" borderId="17" xfId="0" applyFill="1" applyBorder="1" applyAlignment="1">
      <alignment horizontal="left" vertical="center" wrapText="1"/>
    </xf>
    <xf numFmtId="0" fontId="0" fillId="4" borderId="21" xfId="0" applyFill="1" applyBorder="1" applyAlignment="1">
      <alignment horizontal="left" vertical="center" wrapText="1"/>
    </xf>
    <xf numFmtId="0" fontId="0" fillId="4" borderId="17" xfId="0" applyNumberFormat="1" applyFill="1" applyBorder="1" applyAlignment="1">
      <alignment horizontal="left" vertical="center" wrapText="1"/>
    </xf>
    <xf numFmtId="49" fontId="8" fillId="4" borderId="17" xfId="0" applyNumberFormat="1" applyFont="1" applyFill="1" applyBorder="1" applyAlignment="1">
      <alignment horizontal="center" vertical="top" wrapText="1"/>
    </xf>
    <xf numFmtId="0" fontId="6" fillId="4" borderId="17" xfId="0" applyNumberFormat="1" applyFont="1" applyFill="1" applyBorder="1" applyAlignment="1">
      <alignment horizontal="center" vertical="top" wrapText="1"/>
    </xf>
    <xf numFmtId="49" fontId="9" fillId="4" borderId="17" xfId="0" applyNumberFormat="1" applyFont="1" applyFill="1" applyBorder="1" applyAlignment="1">
      <alignment horizontal="left" vertical="center" wrapText="1"/>
    </xf>
    <xf numFmtId="0" fontId="0" fillId="0" borderId="17" xfId="0" applyBorder="1"/>
    <xf numFmtId="0" fontId="0" fillId="0" borderId="21" xfId="0" applyBorder="1"/>
    <xf numFmtId="0" fontId="0" fillId="0" borderId="36" xfId="0" applyBorder="1" applyAlignment="1">
      <alignment horizontal="left"/>
    </xf>
    <xf numFmtId="0" fontId="0" fillId="0" borderId="9" xfId="0" applyBorder="1" applyAlignment="1">
      <alignment horizontal="left"/>
    </xf>
    <xf numFmtId="0" fontId="0" fillId="0" borderId="11" xfId="0" applyBorder="1" applyAlignment="1">
      <alignment horizontal="left"/>
    </xf>
    <xf numFmtId="0" fontId="0" fillId="0" borderId="40" xfId="0" applyBorder="1" applyAlignment="1">
      <alignment horizontal="left"/>
    </xf>
    <xf numFmtId="0" fontId="0" fillId="0" borderId="14" xfId="0" applyBorder="1" applyAlignment="1">
      <alignment horizontal="left"/>
    </xf>
    <xf numFmtId="0" fontId="0" fillId="0" borderId="41" xfId="0" applyBorder="1" applyAlignment="1">
      <alignment horizontal="left"/>
    </xf>
    <xf numFmtId="0" fontId="0" fillId="0" borderId="33" xfId="0" applyBorder="1"/>
    <xf numFmtId="0" fontId="0" fillId="4" borderId="42" xfId="0" applyFill="1" applyBorder="1" applyAlignment="1">
      <alignment horizontal="left" vertical="center" wrapText="1"/>
    </xf>
    <xf numFmtId="0" fontId="6" fillId="4" borderId="17" xfId="0" applyFont="1" applyFill="1" applyBorder="1" applyAlignment="1">
      <alignment horizontal="center" vertical="top" wrapText="1"/>
    </xf>
    <xf numFmtId="0" fontId="6" fillId="4" borderId="17" xfId="0" applyFont="1" applyFill="1" applyBorder="1" applyAlignment="1">
      <alignment horizontal="left" vertical="top" wrapText="1"/>
    </xf>
    <xf numFmtId="49" fontId="0" fillId="4" borderId="17" xfId="0" applyNumberFormat="1" applyFill="1" applyBorder="1" applyAlignment="1">
      <alignment horizontal="left" vertical="center" wrapText="1"/>
    </xf>
    <xf numFmtId="0" fontId="0" fillId="0" borderId="34" xfId="0" applyBorder="1" applyAlignment="1">
      <alignment horizontal="center"/>
    </xf>
    <xf numFmtId="0" fontId="0" fillId="0" borderId="35" xfId="0" applyBorder="1" applyAlignment="1">
      <alignment horizontal="center"/>
    </xf>
    <xf numFmtId="0" fontId="0" fillId="0" borderId="35" xfId="0" applyBorder="1"/>
    <xf numFmtId="0" fontId="0" fillId="0" borderId="11" xfId="0" applyBorder="1" applyAlignment="1">
      <alignment horizontal="center"/>
    </xf>
    <xf numFmtId="0" fontId="1" fillId="0" borderId="0" xfId="0" applyFont="1" applyAlignment="1">
      <alignment horizontal="left" wrapText="1"/>
    </xf>
    <xf numFmtId="0" fontId="0" fillId="0" borderId="0" xfId="0"/>
    <xf numFmtId="49" fontId="7" fillId="0" borderId="23" xfId="0" applyNumberFormat="1" applyFont="1" applyBorder="1" applyAlignment="1">
      <alignment horizontal="left"/>
    </xf>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49" fontId="9" fillId="4" borderId="33" xfId="0" applyNumberFormat="1" applyFont="1" applyFill="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CDDDAC"/>
      <rgbColor rgb="FFBDC0BF"/>
      <rgbColor rgb="FFA5A5A5"/>
      <rgbColor rgb="FF3F3F3F"/>
      <rgbColor rgb="FFDBDBDB"/>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495300</xdr:colOff>
      <xdr:row>3</xdr:row>
      <xdr:rowOff>91808</xdr:rowOff>
    </xdr:to>
    <xdr:pic>
      <xdr:nvPicPr>
        <xdr:cNvPr id="2" name="image1.png" descr="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28600" y="0"/>
          <a:ext cx="1828800" cy="644894"/>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495300</xdr:colOff>
      <xdr:row>3</xdr:row>
      <xdr:rowOff>91808</xdr:rowOff>
    </xdr:to>
    <xdr:pic>
      <xdr:nvPicPr>
        <xdr:cNvPr id="4" name="image1.png" descr="image1.p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228600" y="0"/>
          <a:ext cx="1828800" cy="644894"/>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5"/>
  <sheetViews>
    <sheetView showGridLines="0" workbookViewId="0"/>
  </sheetViews>
  <sheetFormatPr baseColWidth="10" defaultColWidth="10" defaultRowHeight="13" customHeight="1"/>
  <cols>
    <col min="1" max="1" width="2" customWidth="1"/>
    <col min="2" max="4" width="30.5" customWidth="1"/>
  </cols>
  <sheetData>
    <row r="3" spans="2:4" ht="50" customHeight="1">
      <c r="B3" s="118" t="s">
        <v>0</v>
      </c>
      <c r="C3" s="119"/>
      <c r="D3" s="119"/>
    </row>
    <row r="7" spans="2:4" ht="19">
      <c r="B7" s="1" t="s">
        <v>1</v>
      </c>
      <c r="C7" s="1" t="s">
        <v>2</v>
      </c>
      <c r="D7" s="1" t="s">
        <v>3</v>
      </c>
    </row>
    <row r="9" spans="2:4" ht="16">
      <c r="B9" s="2" t="s">
        <v>4</v>
      </c>
      <c r="C9" s="2"/>
      <c r="D9" s="2"/>
    </row>
    <row r="10" spans="2:4" ht="16">
      <c r="B10" s="3"/>
      <c r="C10" s="3" t="s">
        <v>5</v>
      </c>
      <c r="D10" s="4" t="s">
        <v>4</v>
      </c>
    </row>
    <row r="11" spans="2:4" ht="16">
      <c r="B11" s="2" t="s">
        <v>149</v>
      </c>
      <c r="C11" s="2"/>
      <c r="D11" s="2"/>
    </row>
    <row r="12" spans="2:4" ht="16">
      <c r="B12" s="3"/>
      <c r="C12" s="3" t="s">
        <v>5</v>
      </c>
      <c r="D12" s="4" t="s">
        <v>149</v>
      </c>
    </row>
    <row r="13" spans="2:4" ht="16">
      <c r="B13" s="2" t="s">
        <v>160</v>
      </c>
      <c r="C13" s="2"/>
      <c r="D13" s="2"/>
    </row>
    <row r="14" spans="2:4" ht="16">
      <c r="B14" s="3"/>
      <c r="C14" s="3" t="s">
        <v>161</v>
      </c>
      <c r="D14" s="4" t="s">
        <v>162</v>
      </c>
    </row>
    <row r="15" spans="2:4" ht="16">
      <c r="B15" s="3"/>
      <c r="C15" s="3" t="s">
        <v>5</v>
      </c>
      <c r="D15" s="4" t="s">
        <v>169</v>
      </c>
    </row>
  </sheetData>
  <mergeCells count="1">
    <mergeCell ref="B3:D3"/>
  </mergeCells>
  <hyperlinks>
    <hyperlink ref="D10" location="'Sheet1'!R1C1" display="Sheet1" xr:uid="{00000000-0004-0000-0000-000000000000}"/>
    <hyperlink ref="D12" location="'Sheet1-1'!R1C1" display="Sheet1-1" xr:uid="{00000000-0004-0000-0000-000001000000}"/>
    <hyperlink ref="D14" location="'Hoja 1 - Tabla 1-1'!R1C1" display="Hoja 1 - Tabla 1-1" xr:uid="{00000000-0004-0000-0000-000002000000}"/>
    <hyperlink ref="D15" location="'Hoja 1 - Tabla 1'!R2C1" display="Hoja 1 - Tabla 1"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58"/>
  <sheetViews>
    <sheetView showGridLines="0" tabSelected="1" workbookViewId="0">
      <selection activeCell="I15" sqref="I15:J15"/>
    </sheetView>
  </sheetViews>
  <sheetFormatPr baseColWidth="10" defaultColWidth="8.83203125" defaultRowHeight="15" customHeight="1"/>
  <cols>
    <col min="1" max="2" width="3" style="5" customWidth="1"/>
    <col min="3" max="3" width="14.5" style="5" customWidth="1"/>
    <col min="4" max="4" width="16.83203125" style="5" customWidth="1"/>
    <col min="5" max="5" width="1.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2.33203125" style="5" customWidth="1"/>
    <col min="12" max="12" width="3" style="5" customWidth="1"/>
    <col min="13" max="13" width="2.33203125" style="5" customWidth="1"/>
    <col min="14" max="14" width="1.5" style="5" customWidth="1"/>
    <col min="15" max="15" width="1.33203125" style="5" customWidth="1"/>
    <col min="16" max="16" width="2.33203125" style="5" customWidth="1"/>
    <col min="17" max="17" width="3" style="5" customWidth="1"/>
    <col min="18" max="18" width="1.33203125" style="5" customWidth="1"/>
    <col min="19" max="19" width="1.5" style="5" customWidth="1"/>
    <col min="20" max="21" width="2.33203125" style="5" customWidth="1"/>
    <col min="22" max="22" width="3" style="5" customWidth="1"/>
    <col min="23" max="23" width="2.33203125" style="5" customWidth="1"/>
    <col min="24" max="24" width="1.5" style="5" customWidth="1"/>
    <col min="25" max="25" width="1.33203125" style="5" customWidth="1"/>
    <col min="26" max="26" width="3" style="5" customWidth="1"/>
    <col min="27" max="29" width="2.33203125" style="5" customWidth="1"/>
    <col min="30" max="30" width="3" style="5" customWidth="1"/>
    <col min="31" max="32" width="2.33203125" style="5" customWidth="1"/>
    <col min="33" max="33" width="1.33203125" style="5" customWidth="1"/>
    <col min="34" max="34" width="1.5" style="5" customWidth="1"/>
    <col min="35" max="35" width="3" style="5" customWidth="1"/>
    <col min="36" max="38" width="2.33203125" style="5" customWidth="1"/>
    <col min="39" max="40" width="1.5" style="5" customWidth="1"/>
    <col min="41" max="42" width="2.33203125" style="5" customWidth="1"/>
    <col min="43" max="43" width="3" style="5" customWidth="1"/>
    <col min="44" max="44" width="2.33203125" style="5" customWidth="1"/>
    <col min="45" max="45" width="1.5" style="5" customWidth="1"/>
    <col min="46" max="47" width="1.33203125" style="5" customWidth="1"/>
    <col min="48" max="48" width="8.83203125" style="5" customWidth="1"/>
    <col min="49" max="16384" width="8.83203125" style="5"/>
  </cols>
  <sheetData>
    <row r="1" spans="1:47" ht="13.5" customHeight="1">
      <c r="A1" s="42"/>
      <c r="B1" s="45"/>
      <c r="C1" s="46"/>
      <c r="D1" s="46"/>
      <c r="E1" s="46"/>
      <c r="F1" s="46"/>
      <c r="G1" s="47"/>
      <c r="H1" s="45"/>
      <c r="I1" s="47"/>
      <c r="J1" s="52" t="s">
        <v>6</v>
      </c>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5"/>
      <c r="AT1" s="6"/>
      <c r="AU1" s="7"/>
    </row>
    <row r="2" spans="1:47" ht="15" customHeight="1">
      <c r="A2" s="43"/>
      <c r="B2" s="8"/>
      <c r="C2" s="9"/>
      <c r="D2" s="9"/>
      <c r="E2" s="9"/>
      <c r="F2" s="9"/>
      <c r="G2" s="10"/>
      <c r="H2" s="48"/>
      <c r="I2" s="49"/>
      <c r="J2" s="56"/>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9"/>
      <c r="AT2" s="11"/>
      <c r="AU2" s="12"/>
    </row>
    <row r="3" spans="1:47" ht="15" customHeight="1">
      <c r="A3" s="43"/>
      <c r="B3" s="8"/>
      <c r="C3" s="9"/>
      <c r="D3" s="9"/>
      <c r="E3" s="9"/>
      <c r="F3" s="9"/>
      <c r="G3" s="10"/>
      <c r="H3" s="48"/>
      <c r="I3" s="49"/>
      <c r="J3" s="56"/>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9"/>
      <c r="AT3" s="11"/>
      <c r="AU3" s="12"/>
    </row>
    <row r="4" spans="1:47" ht="15" customHeight="1">
      <c r="A4" s="44"/>
      <c r="B4" s="13"/>
      <c r="C4" s="14"/>
      <c r="D4" s="14"/>
      <c r="E4" s="14"/>
      <c r="F4" s="14"/>
      <c r="G4" s="15"/>
      <c r="H4" s="50"/>
      <c r="I4" s="51"/>
      <c r="J4" s="60"/>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3"/>
      <c r="AT4" s="11"/>
      <c r="AU4" s="12"/>
    </row>
    <row r="5" spans="1:47" ht="13.75" customHeight="1">
      <c r="A5" s="16"/>
      <c r="B5" s="64" t="s">
        <v>7</v>
      </c>
      <c r="C5" s="65"/>
      <c r="D5" s="65"/>
      <c r="E5" s="65"/>
      <c r="F5" s="65"/>
      <c r="G5" s="66"/>
      <c r="H5" s="67" t="s">
        <v>8</v>
      </c>
      <c r="I5" s="66"/>
      <c r="J5" s="67" t="s">
        <v>9</v>
      </c>
      <c r="K5" s="65"/>
      <c r="L5" s="65"/>
      <c r="M5" s="65"/>
      <c r="N5" s="66"/>
      <c r="O5" s="67" t="s">
        <v>10</v>
      </c>
      <c r="P5" s="65"/>
      <c r="Q5" s="65"/>
      <c r="R5" s="65"/>
      <c r="S5" s="65"/>
      <c r="T5" s="65"/>
      <c r="U5" s="66"/>
      <c r="V5" s="67" t="s">
        <v>11</v>
      </c>
      <c r="W5" s="65"/>
      <c r="X5" s="65"/>
      <c r="Y5" s="65"/>
      <c r="Z5" s="65"/>
      <c r="AA5" s="66"/>
      <c r="AB5" s="67" t="s">
        <v>12</v>
      </c>
      <c r="AC5" s="65"/>
      <c r="AD5" s="65"/>
      <c r="AE5" s="65"/>
      <c r="AF5" s="65"/>
      <c r="AG5" s="66"/>
      <c r="AH5" s="67" t="s">
        <v>13</v>
      </c>
      <c r="AI5" s="65"/>
      <c r="AJ5" s="65"/>
      <c r="AK5" s="65"/>
      <c r="AL5" s="65"/>
      <c r="AM5" s="66"/>
      <c r="AN5" s="67" t="s">
        <v>14</v>
      </c>
      <c r="AO5" s="65"/>
      <c r="AP5" s="65"/>
      <c r="AQ5" s="65"/>
      <c r="AR5" s="65"/>
      <c r="AS5" s="69"/>
      <c r="AT5" s="17"/>
      <c r="AU5" s="12"/>
    </row>
    <row r="6" spans="1:47" ht="13.75" customHeight="1">
      <c r="A6" s="16"/>
      <c r="B6" s="70" t="s">
        <v>15</v>
      </c>
      <c r="C6" s="71"/>
      <c r="D6" s="71"/>
      <c r="E6" s="71"/>
      <c r="F6" s="71"/>
      <c r="G6" s="72"/>
      <c r="H6" s="73" t="s">
        <v>16</v>
      </c>
      <c r="I6" s="72"/>
      <c r="J6" s="73" t="s">
        <v>17</v>
      </c>
      <c r="K6" s="71"/>
      <c r="L6" s="71"/>
      <c r="M6" s="71"/>
      <c r="N6" s="72"/>
      <c r="O6" s="73" t="s">
        <v>18</v>
      </c>
      <c r="P6" s="71"/>
      <c r="Q6" s="71"/>
      <c r="R6" s="71"/>
      <c r="S6" s="71"/>
      <c r="T6" s="71"/>
      <c r="U6" s="72"/>
      <c r="V6" s="73" t="s">
        <v>19</v>
      </c>
      <c r="W6" s="71"/>
      <c r="X6" s="71"/>
      <c r="Y6" s="71"/>
      <c r="Z6" s="71"/>
      <c r="AA6" s="72"/>
      <c r="AB6" s="73" t="s">
        <v>20</v>
      </c>
      <c r="AC6" s="71"/>
      <c r="AD6" s="71"/>
      <c r="AE6" s="71"/>
      <c r="AF6" s="71"/>
      <c r="AG6" s="72"/>
      <c r="AH6" s="73" t="s">
        <v>21</v>
      </c>
      <c r="AI6" s="71"/>
      <c r="AJ6" s="71"/>
      <c r="AK6" s="71"/>
      <c r="AL6" s="71"/>
      <c r="AM6" s="72"/>
      <c r="AN6" s="73" t="s">
        <v>22</v>
      </c>
      <c r="AO6" s="71"/>
      <c r="AP6" s="71"/>
      <c r="AQ6" s="71"/>
      <c r="AR6" s="71"/>
      <c r="AS6" s="74"/>
      <c r="AT6" s="17"/>
      <c r="AU6" s="12"/>
    </row>
    <row r="7" spans="1:47" ht="15" customHeight="1">
      <c r="A7" s="120" t="s">
        <v>23</v>
      </c>
      <c r="B7" s="76"/>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c r="AT7" s="78"/>
      <c r="AU7" s="79"/>
    </row>
    <row r="8" spans="1:47" ht="13.75" customHeight="1">
      <c r="A8" s="80"/>
      <c r="B8" s="81"/>
      <c r="C8" s="18" t="s">
        <v>24</v>
      </c>
      <c r="D8" s="19" t="s">
        <v>25</v>
      </c>
      <c r="E8" s="67" t="s">
        <v>26</v>
      </c>
      <c r="F8" s="65"/>
      <c r="G8" s="65"/>
      <c r="H8" s="65"/>
      <c r="I8" s="65"/>
      <c r="J8" s="65"/>
      <c r="K8" s="65"/>
      <c r="L8" s="65"/>
      <c r="M8" s="65"/>
      <c r="N8" s="65"/>
      <c r="O8" s="65"/>
      <c r="P8" s="65"/>
      <c r="Q8" s="65"/>
      <c r="R8" s="65"/>
      <c r="S8" s="65"/>
      <c r="T8" s="65"/>
      <c r="U8" s="65"/>
      <c r="V8" s="65"/>
      <c r="W8" s="65"/>
      <c r="X8" s="66"/>
      <c r="Y8" s="67" t="s">
        <v>27</v>
      </c>
      <c r="Z8" s="65"/>
      <c r="AA8" s="65"/>
      <c r="AB8" s="65"/>
      <c r="AC8" s="65"/>
      <c r="AD8" s="65"/>
      <c r="AE8" s="65"/>
      <c r="AF8" s="65"/>
      <c r="AG8" s="65"/>
      <c r="AH8" s="65"/>
      <c r="AI8" s="65"/>
      <c r="AJ8" s="65"/>
      <c r="AK8" s="65"/>
      <c r="AL8" s="65"/>
      <c r="AM8" s="65"/>
      <c r="AN8" s="65"/>
      <c r="AO8" s="65"/>
      <c r="AP8" s="65"/>
      <c r="AQ8" s="65"/>
      <c r="AR8" s="65"/>
      <c r="AS8" s="65"/>
      <c r="AT8" s="69"/>
      <c r="AU8" s="20"/>
    </row>
    <row r="9" spans="1:47" ht="13.75" customHeight="1">
      <c r="A9" s="80"/>
      <c r="B9" s="81"/>
      <c r="C9" s="21" t="s">
        <v>28</v>
      </c>
      <c r="D9" s="22" t="s">
        <v>29</v>
      </c>
      <c r="E9" s="73" t="s">
        <v>30</v>
      </c>
      <c r="F9" s="71"/>
      <c r="G9" s="71"/>
      <c r="H9" s="71"/>
      <c r="I9" s="71"/>
      <c r="J9" s="71"/>
      <c r="K9" s="71"/>
      <c r="L9" s="71"/>
      <c r="M9" s="71"/>
      <c r="N9" s="71"/>
      <c r="O9" s="71"/>
      <c r="P9" s="71"/>
      <c r="Q9" s="71"/>
      <c r="R9" s="71"/>
      <c r="S9" s="71"/>
      <c r="T9" s="71"/>
      <c r="U9" s="71"/>
      <c r="V9" s="71"/>
      <c r="W9" s="71"/>
      <c r="X9" s="72"/>
      <c r="Y9" s="73" t="s">
        <v>31</v>
      </c>
      <c r="Z9" s="71"/>
      <c r="AA9" s="71"/>
      <c r="AB9" s="71"/>
      <c r="AC9" s="71"/>
      <c r="AD9" s="71"/>
      <c r="AE9" s="71"/>
      <c r="AF9" s="71"/>
      <c r="AG9" s="71"/>
      <c r="AH9" s="71"/>
      <c r="AI9" s="71"/>
      <c r="AJ9" s="71"/>
      <c r="AK9" s="71"/>
      <c r="AL9" s="71"/>
      <c r="AM9" s="71"/>
      <c r="AN9" s="71"/>
      <c r="AO9" s="71"/>
      <c r="AP9" s="71"/>
      <c r="AQ9" s="71"/>
      <c r="AR9" s="71"/>
      <c r="AS9" s="71"/>
      <c r="AT9" s="74"/>
      <c r="AU9" s="20"/>
    </row>
    <row r="10" spans="1:47" ht="13.5" customHeight="1">
      <c r="A10" s="82"/>
      <c r="B10" s="83"/>
      <c r="C10" s="23"/>
      <c r="D10" s="23"/>
      <c r="E10" s="86"/>
      <c r="F10" s="84"/>
      <c r="G10" s="84"/>
      <c r="H10" s="84"/>
      <c r="I10" s="84"/>
      <c r="J10" s="84"/>
      <c r="K10" s="84"/>
      <c r="L10" s="84"/>
      <c r="M10" s="84"/>
      <c r="N10" s="84"/>
      <c r="O10" s="84"/>
      <c r="P10" s="84"/>
      <c r="Q10" s="84"/>
      <c r="R10" s="84"/>
      <c r="S10" s="84"/>
      <c r="T10" s="84"/>
      <c r="U10" s="84"/>
      <c r="V10" s="84"/>
      <c r="W10" s="84"/>
      <c r="X10" s="85"/>
      <c r="Y10" s="86"/>
      <c r="Z10" s="84"/>
      <c r="AA10" s="84"/>
      <c r="AB10" s="84"/>
      <c r="AC10" s="84"/>
      <c r="AD10" s="84"/>
      <c r="AE10" s="84"/>
      <c r="AF10" s="84"/>
      <c r="AG10" s="84"/>
      <c r="AH10" s="84"/>
      <c r="AI10" s="84"/>
      <c r="AJ10" s="84"/>
      <c r="AK10" s="84"/>
      <c r="AL10" s="84"/>
      <c r="AM10" s="84"/>
      <c r="AN10" s="84"/>
      <c r="AO10" s="84"/>
      <c r="AP10" s="84"/>
      <c r="AQ10" s="84"/>
      <c r="AR10" s="84"/>
      <c r="AS10" s="84"/>
      <c r="AT10" s="85"/>
      <c r="AU10" s="24"/>
    </row>
    <row r="11" spans="1:47" ht="13.75" customHeight="1">
      <c r="A11" s="87" t="s">
        <v>32</v>
      </c>
      <c r="B11" s="88"/>
      <c r="C11" s="87" t="s">
        <v>33</v>
      </c>
      <c r="D11" s="89"/>
      <c r="E11" s="88"/>
      <c r="F11" s="25" t="s">
        <v>34</v>
      </c>
      <c r="G11" s="87" t="s">
        <v>35</v>
      </c>
      <c r="H11" s="88"/>
      <c r="I11" s="87" t="s">
        <v>7</v>
      </c>
      <c r="J11" s="88"/>
      <c r="K11" s="64" t="s">
        <v>36</v>
      </c>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9"/>
      <c r="AU11" s="20"/>
    </row>
    <row r="12" spans="1:47" ht="13.75" customHeight="1">
      <c r="A12" s="90" t="s">
        <v>37</v>
      </c>
      <c r="B12" s="91"/>
      <c r="C12" s="92" t="s">
        <v>38</v>
      </c>
      <c r="D12" s="93"/>
      <c r="E12" s="94"/>
      <c r="F12" s="26" t="s">
        <v>39</v>
      </c>
      <c r="G12" s="90" t="s">
        <v>40</v>
      </c>
      <c r="H12" s="91"/>
      <c r="I12" s="90" t="s">
        <v>41</v>
      </c>
      <c r="J12" s="91"/>
      <c r="K12" s="27" t="s">
        <v>42</v>
      </c>
      <c r="L12" s="27" t="s">
        <v>42</v>
      </c>
      <c r="M12" s="28"/>
      <c r="N12" s="95"/>
      <c r="O12" s="96"/>
      <c r="P12" s="28"/>
      <c r="Q12" s="28"/>
      <c r="R12" s="95"/>
      <c r="S12" s="96"/>
      <c r="T12" s="28"/>
      <c r="U12" s="28"/>
      <c r="V12" s="28"/>
      <c r="W12" s="28"/>
      <c r="X12" s="95"/>
      <c r="Y12" s="96"/>
      <c r="Z12" s="28"/>
      <c r="AA12" s="28"/>
      <c r="AB12" s="28"/>
      <c r="AC12" s="28"/>
      <c r="AD12" s="28"/>
      <c r="AE12" s="28"/>
      <c r="AF12" s="28"/>
      <c r="AG12" s="95"/>
      <c r="AH12" s="96"/>
      <c r="AI12" s="28"/>
      <c r="AJ12" s="28"/>
      <c r="AK12" s="28"/>
      <c r="AL12" s="28"/>
      <c r="AM12" s="95"/>
      <c r="AN12" s="96"/>
      <c r="AO12" s="28"/>
      <c r="AP12" s="28"/>
      <c r="AQ12" s="28"/>
      <c r="AR12" s="28"/>
      <c r="AS12" s="95"/>
      <c r="AT12" s="96"/>
      <c r="AU12" s="20"/>
    </row>
    <row r="13" spans="1:47" ht="13.75" customHeight="1">
      <c r="A13" s="90" t="s">
        <v>43</v>
      </c>
      <c r="B13" s="91"/>
      <c r="C13" s="92" t="s">
        <v>44</v>
      </c>
      <c r="D13" s="93"/>
      <c r="E13" s="94"/>
      <c r="F13" s="26" t="s">
        <v>45</v>
      </c>
      <c r="G13" s="90" t="s">
        <v>40</v>
      </c>
      <c r="H13" s="91"/>
      <c r="I13" s="90" t="s">
        <v>41</v>
      </c>
      <c r="J13" s="91"/>
      <c r="K13" s="27" t="s">
        <v>42</v>
      </c>
      <c r="L13" s="27" t="s">
        <v>42</v>
      </c>
      <c r="M13" s="33" t="s">
        <v>42</v>
      </c>
      <c r="N13" s="95"/>
      <c r="O13" s="96"/>
      <c r="P13" s="28"/>
      <c r="Q13" s="28"/>
      <c r="R13" s="95"/>
      <c r="S13" s="96"/>
      <c r="T13" s="28"/>
      <c r="U13" s="28"/>
      <c r="V13" s="28"/>
      <c r="W13" s="28"/>
      <c r="X13" s="95"/>
      <c r="Y13" s="96"/>
      <c r="Z13" s="28"/>
      <c r="AA13" s="28"/>
      <c r="AB13" s="28"/>
      <c r="AC13" s="28"/>
      <c r="AD13" s="28"/>
      <c r="AE13" s="28"/>
      <c r="AF13" s="28"/>
      <c r="AG13" s="95"/>
      <c r="AH13" s="96"/>
      <c r="AI13" s="28"/>
      <c r="AJ13" s="28"/>
      <c r="AK13" s="28"/>
      <c r="AL13" s="28"/>
      <c r="AM13" s="95"/>
      <c r="AN13" s="96"/>
      <c r="AO13" s="28"/>
      <c r="AP13" s="28"/>
      <c r="AQ13" s="28"/>
      <c r="AR13" s="28"/>
      <c r="AS13" s="95"/>
      <c r="AT13" s="96"/>
      <c r="AU13" s="20"/>
    </row>
    <row r="14" spans="1:47" ht="13.75" customHeight="1">
      <c r="A14" s="90" t="s">
        <v>46</v>
      </c>
      <c r="B14" s="91"/>
      <c r="C14" s="92" t="s">
        <v>47</v>
      </c>
      <c r="D14" s="93"/>
      <c r="E14" s="94"/>
      <c r="F14" s="26" t="s">
        <v>48</v>
      </c>
      <c r="G14" s="90" t="s">
        <v>40</v>
      </c>
      <c r="H14" s="91"/>
      <c r="I14" s="90" t="s">
        <v>41</v>
      </c>
      <c r="J14" s="91"/>
      <c r="K14" s="28"/>
      <c r="L14" s="27" t="s">
        <v>42</v>
      </c>
      <c r="M14" s="33" t="s">
        <v>42</v>
      </c>
      <c r="N14" s="95"/>
      <c r="O14" s="96"/>
      <c r="P14" s="28"/>
      <c r="Q14" s="28"/>
      <c r="R14" s="95"/>
      <c r="S14" s="96"/>
      <c r="T14" s="28"/>
      <c r="U14" s="28"/>
      <c r="V14" s="28"/>
      <c r="W14" s="28"/>
      <c r="X14" s="95"/>
      <c r="Y14" s="96"/>
      <c r="Z14" s="28"/>
      <c r="AA14" s="28"/>
      <c r="AB14" s="28"/>
      <c r="AC14" s="28"/>
      <c r="AD14" s="28"/>
      <c r="AE14" s="28"/>
      <c r="AF14" s="28"/>
      <c r="AG14" s="95"/>
      <c r="AH14" s="96"/>
      <c r="AI14" s="28"/>
      <c r="AJ14" s="28"/>
      <c r="AK14" s="28"/>
      <c r="AL14" s="28"/>
      <c r="AM14" s="95"/>
      <c r="AN14" s="96"/>
      <c r="AO14" s="28"/>
      <c r="AP14" s="28"/>
      <c r="AQ14" s="28"/>
      <c r="AR14" s="28"/>
      <c r="AS14" s="95"/>
      <c r="AT14" s="96"/>
      <c r="AU14" s="20"/>
    </row>
    <row r="15" spans="1:47" ht="13.75" customHeight="1">
      <c r="A15" s="90" t="s">
        <v>49</v>
      </c>
      <c r="B15" s="91"/>
      <c r="C15" s="92" t="s">
        <v>50</v>
      </c>
      <c r="D15" s="93"/>
      <c r="E15" s="94"/>
      <c r="F15" s="26" t="s">
        <v>51</v>
      </c>
      <c r="G15" s="90" t="s">
        <v>40</v>
      </c>
      <c r="H15" s="91"/>
      <c r="I15" s="90" t="s">
        <v>41</v>
      </c>
      <c r="J15" s="91"/>
      <c r="K15" s="27" t="s">
        <v>42</v>
      </c>
      <c r="L15" s="27" t="s">
        <v>42</v>
      </c>
      <c r="M15" s="33" t="s">
        <v>42</v>
      </c>
      <c r="N15" s="95"/>
      <c r="O15" s="96"/>
      <c r="P15" s="28"/>
      <c r="Q15" s="28"/>
      <c r="R15" s="95"/>
      <c r="S15" s="96"/>
      <c r="T15" s="28"/>
      <c r="U15" s="28"/>
      <c r="V15" s="28"/>
      <c r="W15" s="28"/>
      <c r="X15" s="95"/>
      <c r="Y15" s="96"/>
      <c r="Z15" s="28"/>
      <c r="AA15" s="28"/>
      <c r="AB15" s="28"/>
      <c r="AC15" s="28"/>
      <c r="AD15" s="28"/>
      <c r="AE15" s="28"/>
      <c r="AF15" s="28"/>
      <c r="AG15" s="95"/>
      <c r="AH15" s="96"/>
      <c r="AI15" s="28"/>
      <c r="AJ15" s="28"/>
      <c r="AK15" s="28"/>
      <c r="AL15" s="28"/>
      <c r="AM15" s="95"/>
      <c r="AN15" s="96"/>
      <c r="AO15" s="28"/>
      <c r="AP15" s="28"/>
      <c r="AQ15" s="28"/>
      <c r="AR15" s="28"/>
      <c r="AS15" s="95"/>
      <c r="AT15" s="96"/>
      <c r="AU15" s="20"/>
    </row>
    <row r="16" spans="1:47" ht="13.75" customHeight="1">
      <c r="A16" s="90" t="s">
        <v>52</v>
      </c>
      <c r="B16" s="91"/>
      <c r="C16" s="92" t="s">
        <v>53</v>
      </c>
      <c r="D16" s="93"/>
      <c r="E16" s="94"/>
      <c r="F16" s="26" t="s">
        <v>54</v>
      </c>
      <c r="G16" s="90" t="s">
        <v>40</v>
      </c>
      <c r="H16" s="91"/>
      <c r="I16" s="90" t="s">
        <v>41</v>
      </c>
      <c r="J16" s="91"/>
      <c r="K16" s="27" t="s">
        <v>42</v>
      </c>
      <c r="L16" s="27" t="s">
        <v>42</v>
      </c>
      <c r="M16" s="28"/>
      <c r="N16" s="95"/>
      <c r="O16" s="96"/>
      <c r="P16" s="28"/>
      <c r="Q16" s="28"/>
      <c r="R16" s="95"/>
      <c r="S16" s="96"/>
      <c r="T16" s="28"/>
      <c r="U16" s="28"/>
      <c r="V16" s="28"/>
      <c r="W16" s="28"/>
      <c r="X16" s="95"/>
      <c r="Y16" s="96"/>
      <c r="Z16" s="28"/>
      <c r="AA16" s="28"/>
      <c r="AB16" s="28"/>
      <c r="AC16" s="28"/>
      <c r="AD16" s="28"/>
      <c r="AE16" s="28"/>
      <c r="AF16" s="28"/>
      <c r="AG16" s="95"/>
      <c r="AH16" s="96"/>
      <c r="AI16" s="28"/>
      <c r="AJ16" s="28"/>
      <c r="AK16" s="28"/>
      <c r="AL16" s="28"/>
      <c r="AM16" s="95"/>
      <c r="AN16" s="96"/>
      <c r="AO16" s="28"/>
      <c r="AP16" s="28"/>
      <c r="AQ16" s="28"/>
      <c r="AR16" s="28"/>
      <c r="AS16" s="95"/>
      <c r="AT16" s="96"/>
      <c r="AU16" s="20"/>
    </row>
    <row r="17" spans="1:47" ht="13.75" customHeight="1">
      <c r="A17" s="90" t="s">
        <v>55</v>
      </c>
      <c r="B17" s="91"/>
      <c r="C17" s="92" t="s">
        <v>56</v>
      </c>
      <c r="D17" s="93"/>
      <c r="E17" s="94"/>
      <c r="F17" s="26" t="s">
        <v>57</v>
      </c>
      <c r="G17" s="90" t="s">
        <v>40</v>
      </c>
      <c r="H17" s="91"/>
      <c r="I17" s="90" t="s">
        <v>41</v>
      </c>
      <c r="J17" s="91"/>
      <c r="K17" s="27" t="s">
        <v>42</v>
      </c>
      <c r="L17" s="27" t="s">
        <v>42</v>
      </c>
      <c r="M17" s="33" t="s">
        <v>42</v>
      </c>
      <c r="N17" s="95"/>
      <c r="O17" s="96"/>
      <c r="P17" s="28"/>
      <c r="Q17" s="28"/>
      <c r="R17" s="95"/>
      <c r="S17" s="96"/>
      <c r="T17" s="28"/>
      <c r="U17" s="28"/>
      <c r="V17" s="28"/>
      <c r="W17" s="28"/>
      <c r="X17" s="95"/>
      <c r="Y17" s="96"/>
      <c r="Z17" s="28"/>
      <c r="AA17" s="28"/>
      <c r="AB17" s="28"/>
      <c r="AC17" s="28"/>
      <c r="AD17" s="28"/>
      <c r="AE17" s="28"/>
      <c r="AF17" s="28"/>
      <c r="AG17" s="95"/>
      <c r="AH17" s="96"/>
      <c r="AI17" s="28"/>
      <c r="AJ17" s="28"/>
      <c r="AK17" s="28"/>
      <c r="AL17" s="28"/>
      <c r="AM17" s="95"/>
      <c r="AN17" s="96"/>
      <c r="AO17" s="28"/>
      <c r="AP17" s="28"/>
      <c r="AQ17" s="28"/>
      <c r="AR17" s="28"/>
      <c r="AS17" s="95"/>
      <c r="AT17" s="96"/>
      <c r="AU17" s="20"/>
    </row>
    <row r="18" spans="1:47" ht="13.75" customHeight="1">
      <c r="A18" s="90" t="s">
        <v>58</v>
      </c>
      <c r="B18" s="91"/>
      <c r="C18" s="92" t="s">
        <v>59</v>
      </c>
      <c r="D18" s="93"/>
      <c r="E18" s="94"/>
      <c r="F18" s="26" t="s">
        <v>60</v>
      </c>
      <c r="G18" s="90" t="s">
        <v>40</v>
      </c>
      <c r="H18" s="91"/>
      <c r="I18" s="90" t="s">
        <v>41</v>
      </c>
      <c r="J18" s="91"/>
      <c r="K18" s="27" t="s">
        <v>42</v>
      </c>
      <c r="L18" s="27" t="s">
        <v>42</v>
      </c>
      <c r="M18" s="33" t="s">
        <v>42</v>
      </c>
      <c r="N18" s="95"/>
      <c r="O18" s="96"/>
      <c r="P18" s="28"/>
      <c r="Q18" s="28"/>
      <c r="R18" s="95"/>
      <c r="S18" s="96"/>
      <c r="T18" s="28"/>
      <c r="U18" s="28"/>
      <c r="V18" s="28"/>
      <c r="W18" s="28"/>
      <c r="X18" s="95"/>
      <c r="Y18" s="96"/>
      <c r="Z18" s="28"/>
      <c r="AA18" s="28"/>
      <c r="AB18" s="28"/>
      <c r="AC18" s="28"/>
      <c r="AD18" s="28"/>
      <c r="AE18" s="28"/>
      <c r="AF18" s="28"/>
      <c r="AG18" s="95"/>
      <c r="AH18" s="96"/>
      <c r="AI18" s="28"/>
      <c r="AJ18" s="28"/>
      <c r="AK18" s="28"/>
      <c r="AL18" s="28"/>
      <c r="AM18" s="95"/>
      <c r="AN18" s="96"/>
      <c r="AO18" s="28"/>
      <c r="AP18" s="28"/>
      <c r="AQ18" s="28"/>
      <c r="AR18" s="28"/>
      <c r="AS18" s="95"/>
      <c r="AT18" s="96"/>
      <c r="AU18" s="20"/>
    </row>
    <row r="19" spans="1:47" ht="13.75" customHeight="1">
      <c r="A19" s="90" t="s">
        <v>61</v>
      </c>
      <c r="B19" s="91"/>
      <c r="C19" s="92" t="s">
        <v>62</v>
      </c>
      <c r="D19" s="93"/>
      <c r="E19" s="94"/>
      <c r="F19" s="26" t="s">
        <v>63</v>
      </c>
      <c r="G19" s="90" t="s">
        <v>40</v>
      </c>
      <c r="H19" s="91"/>
      <c r="I19" s="90" t="s">
        <v>41</v>
      </c>
      <c r="J19" s="91"/>
      <c r="K19" s="27" t="s">
        <v>42</v>
      </c>
      <c r="L19" s="27" t="s">
        <v>42</v>
      </c>
      <c r="M19" s="33" t="s">
        <v>42</v>
      </c>
      <c r="N19" s="95"/>
      <c r="O19" s="96"/>
      <c r="P19" s="28"/>
      <c r="Q19" s="28"/>
      <c r="R19" s="95"/>
      <c r="S19" s="96"/>
      <c r="T19" s="28"/>
      <c r="U19" s="28"/>
      <c r="V19" s="28"/>
      <c r="W19" s="28"/>
      <c r="X19" s="95"/>
      <c r="Y19" s="96"/>
      <c r="Z19" s="28"/>
      <c r="AA19" s="28"/>
      <c r="AB19" s="28"/>
      <c r="AC19" s="28"/>
      <c r="AD19" s="28"/>
      <c r="AE19" s="28"/>
      <c r="AF19" s="28"/>
      <c r="AG19" s="95"/>
      <c r="AH19" s="96"/>
      <c r="AI19" s="28"/>
      <c r="AJ19" s="28"/>
      <c r="AK19" s="28"/>
      <c r="AL19" s="28"/>
      <c r="AM19" s="95"/>
      <c r="AN19" s="96"/>
      <c r="AO19" s="28"/>
      <c r="AP19" s="28"/>
      <c r="AQ19" s="28"/>
      <c r="AR19" s="28"/>
      <c r="AS19" s="95"/>
      <c r="AT19" s="96"/>
      <c r="AU19" s="20"/>
    </row>
    <row r="20" spans="1:47" ht="13.75" customHeight="1">
      <c r="A20" s="90" t="s">
        <v>64</v>
      </c>
      <c r="B20" s="91"/>
      <c r="C20" s="92" t="s">
        <v>65</v>
      </c>
      <c r="D20" s="93"/>
      <c r="E20" s="94"/>
      <c r="F20" s="26" t="s">
        <v>66</v>
      </c>
      <c r="G20" s="90" t="s">
        <v>40</v>
      </c>
      <c r="H20" s="91"/>
      <c r="I20" s="90" t="s">
        <v>41</v>
      </c>
      <c r="J20" s="91"/>
      <c r="K20" s="27" t="s">
        <v>42</v>
      </c>
      <c r="L20" s="27" t="s">
        <v>42</v>
      </c>
      <c r="M20" s="33" t="s">
        <v>42</v>
      </c>
      <c r="N20" s="95"/>
      <c r="O20" s="96"/>
      <c r="P20" s="28"/>
      <c r="Q20" s="28"/>
      <c r="R20" s="95"/>
      <c r="S20" s="96"/>
      <c r="T20" s="28"/>
      <c r="U20" s="28"/>
      <c r="V20" s="28"/>
      <c r="W20" s="28"/>
      <c r="X20" s="95"/>
      <c r="Y20" s="96"/>
      <c r="Z20" s="28"/>
      <c r="AA20" s="28"/>
      <c r="AB20" s="28"/>
      <c r="AC20" s="28"/>
      <c r="AD20" s="28"/>
      <c r="AE20" s="28"/>
      <c r="AF20" s="28"/>
      <c r="AG20" s="95"/>
      <c r="AH20" s="96"/>
      <c r="AI20" s="28"/>
      <c r="AJ20" s="28"/>
      <c r="AK20" s="28"/>
      <c r="AL20" s="28"/>
      <c r="AM20" s="95"/>
      <c r="AN20" s="96"/>
      <c r="AO20" s="28"/>
      <c r="AP20" s="28"/>
      <c r="AQ20" s="28"/>
      <c r="AR20" s="28"/>
      <c r="AS20" s="95"/>
      <c r="AT20" s="96"/>
      <c r="AU20" s="20"/>
    </row>
    <row r="21" spans="1:47" ht="13.75" customHeight="1">
      <c r="A21" s="90" t="s">
        <v>67</v>
      </c>
      <c r="B21" s="91"/>
      <c r="C21" s="92" t="s">
        <v>68</v>
      </c>
      <c r="D21" s="93"/>
      <c r="E21" s="94"/>
      <c r="F21" s="26" t="s">
        <v>69</v>
      </c>
      <c r="G21" s="90" t="s">
        <v>40</v>
      </c>
      <c r="H21" s="91"/>
      <c r="I21" s="90" t="s">
        <v>41</v>
      </c>
      <c r="J21" s="91"/>
      <c r="K21" s="27" t="s">
        <v>42</v>
      </c>
      <c r="L21" s="27" t="s">
        <v>42</v>
      </c>
      <c r="M21" s="33" t="s">
        <v>42</v>
      </c>
      <c r="N21" s="95"/>
      <c r="O21" s="96"/>
      <c r="P21" s="28"/>
      <c r="Q21" s="28"/>
      <c r="R21" s="95"/>
      <c r="S21" s="96"/>
      <c r="T21" s="28"/>
      <c r="U21" s="28"/>
      <c r="V21" s="28"/>
      <c r="W21" s="28"/>
      <c r="X21" s="95"/>
      <c r="Y21" s="96"/>
      <c r="Z21" s="28"/>
      <c r="AA21" s="28"/>
      <c r="AB21" s="28"/>
      <c r="AC21" s="28"/>
      <c r="AD21" s="28"/>
      <c r="AE21" s="28"/>
      <c r="AF21" s="28"/>
      <c r="AG21" s="95"/>
      <c r="AH21" s="96"/>
      <c r="AI21" s="28"/>
      <c r="AJ21" s="28"/>
      <c r="AK21" s="28"/>
      <c r="AL21" s="28"/>
      <c r="AM21" s="95"/>
      <c r="AN21" s="96"/>
      <c r="AO21" s="28"/>
      <c r="AP21" s="28"/>
      <c r="AQ21" s="28"/>
      <c r="AR21" s="28"/>
      <c r="AS21" s="95"/>
      <c r="AT21" s="96"/>
      <c r="AU21" s="20"/>
    </row>
    <row r="22" spans="1:47" ht="13.75" customHeight="1">
      <c r="A22" s="90" t="s">
        <v>70</v>
      </c>
      <c r="B22" s="91"/>
      <c r="C22" s="92" t="s">
        <v>71</v>
      </c>
      <c r="D22" s="93"/>
      <c r="E22" s="94"/>
      <c r="F22" s="26" t="s">
        <v>72</v>
      </c>
      <c r="G22" s="90" t="s">
        <v>40</v>
      </c>
      <c r="H22" s="91"/>
      <c r="I22" s="90" t="s">
        <v>41</v>
      </c>
      <c r="J22" s="91"/>
      <c r="K22" s="27" t="s">
        <v>42</v>
      </c>
      <c r="L22" s="124" t="s">
        <v>42</v>
      </c>
      <c r="M22" s="33" t="s">
        <v>42</v>
      </c>
      <c r="N22" s="95"/>
      <c r="O22" s="96"/>
      <c r="P22" s="28"/>
      <c r="Q22" s="28"/>
      <c r="R22" s="95"/>
      <c r="S22" s="96"/>
      <c r="T22" s="28"/>
      <c r="U22" s="28"/>
      <c r="V22" s="28"/>
      <c r="W22" s="28"/>
      <c r="X22" s="95"/>
      <c r="Y22" s="96"/>
      <c r="Z22" s="28"/>
      <c r="AA22" s="28"/>
      <c r="AB22" s="28"/>
      <c r="AC22" s="28"/>
      <c r="AD22" s="28"/>
      <c r="AE22" s="28"/>
      <c r="AF22" s="28"/>
      <c r="AG22" s="95"/>
      <c r="AH22" s="96"/>
      <c r="AI22" s="28"/>
      <c r="AJ22" s="28"/>
      <c r="AK22" s="28"/>
      <c r="AL22" s="28"/>
      <c r="AM22" s="95"/>
      <c r="AN22" s="96"/>
      <c r="AO22" s="28"/>
      <c r="AP22" s="28"/>
      <c r="AQ22" s="28"/>
      <c r="AR22" s="28"/>
      <c r="AS22" s="95"/>
      <c r="AT22" s="96"/>
      <c r="AU22" s="20"/>
    </row>
    <row r="23" spans="1:47" ht="13.75" customHeight="1">
      <c r="A23" s="90" t="s">
        <v>73</v>
      </c>
      <c r="B23" s="91"/>
      <c r="C23" s="92" t="s">
        <v>74</v>
      </c>
      <c r="D23" s="93"/>
      <c r="E23" s="94"/>
      <c r="F23" s="26" t="s">
        <v>75</v>
      </c>
      <c r="G23" s="90" t="s">
        <v>40</v>
      </c>
      <c r="H23" s="91"/>
      <c r="I23" s="90" t="s">
        <v>41</v>
      </c>
      <c r="J23" s="91"/>
      <c r="K23" s="27" t="s">
        <v>42</v>
      </c>
      <c r="L23" s="27" t="s">
        <v>42</v>
      </c>
      <c r="M23" s="33" t="s">
        <v>42</v>
      </c>
      <c r="N23" s="95"/>
      <c r="O23" s="96"/>
      <c r="P23" s="28"/>
      <c r="Q23" s="28"/>
      <c r="R23" s="95"/>
      <c r="S23" s="96"/>
      <c r="T23" s="28"/>
      <c r="U23" s="28"/>
      <c r="V23" s="28"/>
      <c r="W23" s="28"/>
      <c r="X23" s="95"/>
      <c r="Y23" s="96"/>
      <c r="Z23" s="28"/>
      <c r="AA23" s="28"/>
      <c r="AB23" s="28"/>
      <c r="AC23" s="28"/>
      <c r="AD23" s="28"/>
      <c r="AE23" s="28"/>
      <c r="AF23" s="28"/>
      <c r="AG23" s="95"/>
      <c r="AH23" s="96"/>
      <c r="AI23" s="28"/>
      <c r="AJ23" s="28"/>
      <c r="AK23" s="28"/>
      <c r="AL23" s="28"/>
      <c r="AM23" s="95"/>
      <c r="AN23" s="96"/>
      <c r="AO23" s="28"/>
      <c r="AP23" s="28"/>
      <c r="AQ23" s="28"/>
      <c r="AR23" s="28"/>
      <c r="AS23" s="95"/>
      <c r="AT23" s="96"/>
      <c r="AU23" s="20"/>
    </row>
    <row r="24" spans="1:47" ht="13.75" customHeight="1">
      <c r="A24" s="90" t="s">
        <v>76</v>
      </c>
      <c r="B24" s="91"/>
      <c r="C24" s="92" t="s">
        <v>77</v>
      </c>
      <c r="D24" s="93"/>
      <c r="E24" s="94"/>
      <c r="F24" s="26" t="s">
        <v>78</v>
      </c>
      <c r="G24" s="90" t="s">
        <v>40</v>
      </c>
      <c r="H24" s="91"/>
      <c r="I24" s="90" t="s">
        <v>41</v>
      </c>
      <c r="J24" s="91"/>
      <c r="K24" s="27" t="s">
        <v>42</v>
      </c>
      <c r="L24" s="27" t="s">
        <v>42</v>
      </c>
      <c r="M24" s="33" t="s">
        <v>42</v>
      </c>
      <c r="N24" s="95"/>
      <c r="O24" s="96"/>
      <c r="P24" s="28"/>
      <c r="Q24" s="28"/>
      <c r="R24" s="95"/>
      <c r="S24" s="96"/>
      <c r="T24" s="28"/>
      <c r="U24" s="28"/>
      <c r="V24" s="28"/>
      <c r="W24" s="28"/>
      <c r="X24" s="95"/>
      <c r="Y24" s="96"/>
      <c r="Z24" s="28"/>
      <c r="AA24" s="28"/>
      <c r="AB24" s="28"/>
      <c r="AC24" s="28"/>
      <c r="AD24" s="28"/>
      <c r="AE24" s="28"/>
      <c r="AF24" s="28"/>
      <c r="AG24" s="95"/>
      <c r="AH24" s="96"/>
      <c r="AI24" s="28"/>
      <c r="AJ24" s="28"/>
      <c r="AK24" s="28"/>
      <c r="AL24" s="28"/>
      <c r="AM24" s="95"/>
      <c r="AN24" s="96"/>
      <c r="AO24" s="28"/>
      <c r="AP24" s="28"/>
      <c r="AQ24" s="28"/>
      <c r="AR24" s="28"/>
      <c r="AS24" s="95"/>
      <c r="AT24" s="96"/>
      <c r="AU24" s="20"/>
    </row>
    <row r="25" spans="1:47" ht="13.75" customHeight="1">
      <c r="A25" s="90" t="s">
        <v>79</v>
      </c>
      <c r="B25" s="91"/>
      <c r="C25" s="92" t="s">
        <v>80</v>
      </c>
      <c r="D25" s="93"/>
      <c r="E25" s="94"/>
      <c r="F25" s="26" t="s">
        <v>81</v>
      </c>
      <c r="G25" s="90" t="s">
        <v>40</v>
      </c>
      <c r="H25" s="91"/>
      <c r="I25" s="90" t="s">
        <v>41</v>
      </c>
      <c r="J25" s="91"/>
      <c r="K25" s="27" t="s">
        <v>42</v>
      </c>
      <c r="L25" s="27" t="s">
        <v>42</v>
      </c>
      <c r="M25" s="33" t="s">
        <v>42</v>
      </c>
      <c r="N25" s="95"/>
      <c r="O25" s="96"/>
      <c r="P25" s="28"/>
      <c r="Q25" s="28"/>
      <c r="R25" s="95"/>
      <c r="S25" s="96"/>
      <c r="T25" s="28"/>
      <c r="U25" s="28"/>
      <c r="V25" s="28"/>
      <c r="W25" s="28"/>
      <c r="X25" s="95"/>
      <c r="Y25" s="96"/>
      <c r="Z25" s="28"/>
      <c r="AA25" s="28"/>
      <c r="AB25" s="28"/>
      <c r="AC25" s="28"/>
      <c r="AD25" s="28"/>
      <c r="AE25" s="28"/>
      <c r="AF25" s="28"/>
      <c r="AG25" s="95"/>
      <c r="AH25" s="96"/>
      <c r="AI25" s="28"/>
      <c r="AJ25" s="28"/>
      <c r="AK25" s="28"/>
      <c r="AL25" s="28"/>
      <c r="AM25" s="95"/>
      <c r="AN25" s="96"/>
      <c r="AO25" s="28"/>
      <c r="AP25" s="28"/>
      <c r="AQ25" s="28"/>
      <c r="AR25" s="28"/>
      <c r="AS25" s="95"/>
      <c r="AT25" s="96"/>
      <c r="AU25" s="20"/>
    </row>
    <row r="26" spans="1:47" ht="13.75" customHeight="1">
      <c r="A26" s="90" t="s">
        <v>82</v>
      </c>
      <c r="B26" s="91"/>
      <c r="C26" s="92" t="s">
        <v>83</v>
      </c>
      <c r="D26" s="93"/>
      <c r="E26" s="94"/>
      <c r="F26" s="26" t="s">
        <v>84</v>
      </c>
      <c r="G26" s="90" t="s">
        <v>40</v>
      </c>
      <c r="H26" s="91"/>
      <c r="I26" s="90" t="s">
        <v>41</v>
      </c>
      <c r="J26" s="91"/>
      <c r="K26" s="28"/>
      <c r="L26" s="27" t="s">
        <v>42</v>
      </c>
      <c r="M26" s="33" t="s">
        <v>42</v>
      </c>
      <c r="N26" s="95"/>
      <c r="O26" s="96"/>
      <c r="P26" s="28"/>
      <c r="Q26" s="28"/>
      <c r="R26" s="95"/>
      <c r="S26" s="96"/>
      <c r="T26" s="28"/>
      <c r="U26" s="28"/>
      <c r="V26" s="28"/>
      <c r="W26" s="28"/>
      <c r="X26" s="95"/>
      <c r="Y26" s="96"/>
      <c r="Z26" s="28"/>
      <c r="AA26" s="28"/>
      <c r="AB26" s="28"/>
      <c r="AC26" s="28"/>
      <c r="AD26" s="28"/>
      <c r="AE26" s="28"/>
      <c r="AF26" s="28"/>
      <c r="AG26" s="95"/>
      <c r="AH26" s="96"/>
      <c r="AI26" s="28"/>
      <c r="AJ26" s="28"/>
      <c r="AK26" s="28"/>
      <c r="AL26" s="28"/>
      <c r="AM26" s="95"/>
      <c r="AN26" s="96"/>
      <c r="AO26" s="28"/>
      <c r="AP26" s="28"/>
      <c r="AQ26" s="28"/>
      <c r="AR26" s="28"/>
      <c r="AS26" s="95"/>
      <c r="AT26" s="96"/>
      <c r="AU26" s="20"/>
    </row>
    <row r="27" spans="1:47" ht="13.75" customHeight="1">
      <c r="A27" s="90" t="s">
        <v>85</v>
      </c>
      <c r="B27" s="91"/>
      <c r="C27" s="92" t="s">
        <v>86</v>
      </c>
      <c r="D27" s="93"/>
      <c r="E27" s="94"/>
      <c r="F27" s="26" t="s">
        <v>87</v>
      </c>
      <c r="G27" s="90" t="s">
        <v>40</v>
      </c>
      <c r="H27" s="91"/>
      <c r="I27" s="90" t="s">
        <v>41</v>
      </c>
      <c r="J27" s="91"/>
      <c r="K27" s="27" t="s">
        <v>42</v>
      </c>
      <c r="L27" s="27" t="s">
        <v>42</v>
      </c>
      <c r="M27" s="33" t="s">
        <v>42</v>
      </c>
      <c r="N27" s="95"/>
      <c r="O27" s="96"/>
      <c r="P27" s="28"/>
      <c r="Q27" s="28"/>
      <c r="R27" s="95"/>
      <c r="S27" s="96"/>
      <c r="T27" s="28"/>
      <c r="U27" s="28"/>
      <c r="V27" s="28"/>
      <c r="W27" s="28"/>
      <c r="X27" s="95"/>
      <c r="Y27" s="96"/>
      <c r="Z27" s="28"/>
      <c r="AA27" s="28"/>
      <c r="AB27" s="28"/>
      <c r="AC27" s="28"/>
      <c r="AD27" s="28"/>
      <c r="AE27" s="28"/>
      <c r="AF27" s="28"/>
      <c r="AG27" s="95"/>
      <c r="AH27" s="96"/>
      <c r="AI27" s="28"/>
      <c r="AJ27" s="28"/>
      <c r="AK27" s="28"/>
      <c r="AL27" s="28"/>
      <c r="AM27" s="95"/>
      <c r="AN27" s="96"/>
      <c r="AO27" s="28"/>
      <c r="AP27" s="28"/>
      <c r="AQ27" s="28"/>
      <c r="AR27" s="28"/>
      <c r="AS27" s="95"/>
      <c r="AT27" s="96"/>
      <c r="AU27" s="20"/>
    </row>
    <row r="28" spans="1:47" ht="13.75" customHeight="1">
      <c r="A28" s="90" t="s">
        <v>88</v>
      </c>
      <c r="B28" s="91"/>
      <c r="C28" s="92" t="s">
        <v>89</v>
      </c>
      <c r="D28" s="93"/>
      <c r="E28" s="94"/>
      <c r="F28" s="26" t="s">
        <v>90</v>
      </c>
      <c r="G28" s="90" t="s">
        <v>40</v>
      </c>
      <c r="H28" s="91"/>
      <c r="I28" s="90" t="s">
        <v>41</v>
      </c>
      <c r="J28" s="91"/>
      <c r="K28" s="27" t="s">
        <v>42</v>
      </c>
      <c r="L28" s="27" t="s">
        <v>42</v>
      </c>
      <c r="M28" s="28"/>
      <c r="N28" s="95"/>
      <c r="O28" s="96"/>
      <c r="P28" s="28"/>
      <c r="Q28" s="28"/>
      <c r="R28" s="95"/>
      <c r="S28" s="96"/>
      <c r="T28" s="28"/>
      <c r="U28" s="28"/>
      <c r="V28" s="28"/>
      <c r="W28" s="28"/>
      <c r="X28" s="95"/>
      <c r="Y28" s="96"/>
      <c r="Z28" s="28"/>
      <c r="AA28" s="28"/>
      <c r="AB28" s="28"/>
      <c r="AC28" s="28"/>
      <c r="AD28" s="28"/>
      <c r="AE28" s="28"/>
      <c r="AF28" s="28"/>
      <c r="AG28" s="95"/>
      <c r="AH28" s="96"/>
      <c r="AI28" s="28"/>
      <c r="AJ28" s="28"/>
      <c r="AK28" s="28"/>
      <c r="AL28" s="28"/>
      <c r="AM28" s="95"/>
      <c r="AN28" s="96"/>
      <c r="AO28" s="28"/>
      <c r="AP28" s="28"/>
      <c r="AQ28" s="28"/>
      <c r="AR28" s="28"/>
      <c r="AS28" s="95"/>
      <c r="AT28" s="96"/>
      <c r="AU28" s="20"/>
    </row>
    <row r="29" spans="1:47" ht="13.75" customHeight="1">
      <c r="A29" s="90" t="s">
        <v>91</v>
      </c>
      <c r="B29" s="91"/>
      <c r="C29" s="92" t="s">
        <v>92</v>
      </c>
      <c r="D29" s="93"/>
      <c r="E29" s="94"/>
      <c r="F29" s="26" t="s">
        <v>93</v>
      </c>
      <c r="G29" s="90" t="s">
        <v>40</v>
      </c>
      <c r="H29" s="91"/>
      <c r="I29" s="90" t="s">
        <v>41</v>
      </c>
      <c r="J29" s="91"/>
      <c r="K29" s="27" t="s">
        <v>42</v>
      </c>
      <c r="L29" s="27" t="s">
        <v>42</v>
      </c>
      <c r="M29" s="28"/>
      <c r="N29" s="95"/>
      <c r="O29" s="96"/>
      <c r="P29" s="28"/>
      <c r="Q29" s="28"/>
      <c r="R29" s="95"/>
      <c r="S29" s="96"/>
      <c r="T29" s="28"/>
      <c r="U29" s="28"/>
      <c r="V29" s="28"/>
      <c r="W29" s="28"/>
      <c r="X29" s="95"/>
      <c r="Y29" s="96"/>
      <c r="Z29" s="28"/>
      <c r="AA29" s="28"/>
      <c r="AB29" s="28"/>
      <c r="AC29" s="28"/>
      <c r="AD29" s="28"/>
      <c r="AE29" s="28"/>
      <c r="AF29" s="28"/>
      <c r="AG29" s="95"/>
      <c r="AH29" s="96"/>
      <c r="AI29" s="28"/>
      <c r="AJ29" s="28"/>
      <c r="AK29" s="28"/>
      <c r="AL29" s="28"/>
      <c r="AM29" s="95"/>
      <c r="AN29" s="96"/>
      <c r="AO29" s="28"/>
      <c r="AP29" s="28"/>
      <c r="AQ29" s="28"/>
      <c r="AR29" s="28"/>
      <c r="AS29" s="95"/>
      <c r="AT29" s="96"/>
      <c r="AU29" s="20"/>
    </row>
    <row r="30" spans="1:47" ht="13.75" customHeight="1">
      <c r="A30" s="90" t="s">
        <v>94</v>
      </c>
      <c r="B30" s="91"/>
      <c r="C30" s="92" t="s">
        <v>95</v>
      </c>
      <c r="D30" s="93"/>
      <c r="E30" s="94"/>
      <c r="F30" s="26" t="s">
        <v>96</v>
      </c>
      <c r="G30" s="90" t="s">
        <v>40</v>
      </c>
      <c r="H30" s="91"/>
      <c r="I30" s="90" t="s">
        <v>41</v>
      </c>
      <c r="J30" s="91"/>
      <c r="K30" s="28"/>
      <c r="L30" s="27" t="s">
        <v>42</v>
      </c>
      <c r="M30" s="33" t="s">
        <v>42</v>
      </c>
      <c r="N30" s="95"/>
      <c r="O30" s="96"/>
      <c r="P30" s="28"/>
      <c r="Q30" s="28"/>
      <c r="R30" s="95"/>
      <c r="S30" s="96"/>
      <c r="T30" s="28"/>
      <c r="U30" s="28"/>
      <c r="V30" s="28"/>
      <c r="W30" s="28"/>
      <c r="X30" s="95"/>
      <c r="Y30" s="96"/>
      <c r="Z30" s="28"/>
      <c r="AA30" s="28"/>
      <c r="AB30" s="28"/>
      <c r="AC30" s="28"/>
      <c r="AD30" s="28"/>
      <c r="AE30" s="28"/>
      <c r="AF30" s="28"/>
      <c r="AG30" s="95"/>
      <c r="AH30" s="96"/>
      <c r="AI30" s="28"/>
      <c r="AJ30" s="28"/>
      <c r="AK30" s="28"/>
      <c r="AL30" s="28"/>
      <c r="AM30" s="95"/>
      <c r="AN30" s="96"/>
      <c r="AO30" s="28"/>
      <c r="AP30" s="28"/>
      <c r="AQ30" s="28"/>
      <c r="AR30" s="28"/>
      <c r="AS30" s="95"/>
      <c r="AT30" s="96"/>
      <c r="AU30" s="20"/>
    </row>
    <row r="31" spans="1:47" ht="13.75" customHeight="1">
      <c r="A31" s="90" t="s">
        <v>97</v>
      </c>
      <c r="B31" s="91"/>
      <c r="C31" s="92" t="s">
        <v>98</v>
      </c>
      <c r="D31" s="93"/>
      <c r="E31" s="94"/>
      <c r="F31" s="26" t="s">
        <v>99</v>
      </c>
      <c r="G31" s="90" t="s">
        <v>40</v>
      </c>
      <c r="H31" s="91"/>
      <c r="I31" s="90" t="s">
        <v>41</v>
      </c>
      <c r="J31" s="91"/>
      <c r="K31" s="27" t="s">
        <v>42</v>
      </c>
      <c r="L31" s="27" t="s">
        <v>42</v>
      </c>
      <c r="M31" s="28"/>
      <c r="N31" s="95"/>
      <c r="O31" s="96"/>
      <c r="P31" s="28"/>
      <c r="Q31" s="28"/>
      <c r="R31" s="95"/>
      <c r="S31" s="96"/>
      <c r="T31" s="28"/>
      <c r="U31" s="28"/>
      <c r="V31" s="28"/>
      <c r="W31" s="28"/>
      <c r="X31" s="95"/>
      <c r="Y31" s="96"/>
      <c r="Z31" s="28"/>
      <c r="AA31" s="28"/>
      <c r="AB31" s="28"/>
      <c r="AC31" s="28"/>
      <c r="AD31" s="28"/>
      <c r="AE31" s="28"/>
      <c r="AF31" s="28"/>
      <c r="AG31" s="95"/>
      <c r="AH31" s="96"/>
      <c r="AI31" s="28"/>
      <c r="AJ31" s="28"/>
      <c r="AK31" s="28"/>
      <c r="AL31" s="28"/>
      <c r="AM31" s="95"/>
      <c r="AN31" s="96"/>
      <c r="AO31" s="28"/>
      <c r="AP31" s="28"/>
      <c r="AQ31" s="28"/>
      <c r="AR31" s="28"/>
      <c r="AS31" s="95"/>
      <c r="AT31" s="96"/>
      <c r="AU31" s="20"/>
    </row>
    <row r="32" spans="1:47" ht="13.75" customHeight="1">
      <c r="A32" s="90" t="s">
        <v>100</v>
      </c>
      <c r="B32" s="91"/>
      <c r="C32" s="92" t="s">
        <v>101</v>
      </c>
      <c r="D32" s="93"/>
      <c r="E32" s="94"/>
      <c r="F32" s="26" t="s">
        <v>102</v>
      </c>
      <c r="G32" s="90" t="s">
        <v>40</v>
      </c>
      <c r="H32" s="91"/>
      <c r="I32" s="90" t="s">
        <v>41</v>
      </c>
      <c r="J32" s="91"/>
      <c r="K32" s="27" t="s">
        <v>42</v>
      </c>
      <c r="L32" s="27" t="s">
        <v>42</v>
      </c>
      <c r="M32" s="28"/>
      <c r="N32" s="95"/>
      <c r="O32" s="96"/>
      <c r="P32" s="28"/>
      <c r="Q32" s="28"/>
      <c r="R32" s="95"/>
      <c r="S32" s="96"/>
      <c r="T32" s="28"/>
      <c r="U32" s="28"/>
      <c r="V32" s="28"/>
      <c r="W32" s="28"/>
      <c r="X32" s="95"/>
      <c r="Y32" s="96"/>
      <c r="Z32" s="28"/>
      <c r="AA32" s="28"/>
      <c r="AB32" s="28"/>
      <c r="AC32" s="28"/>
      <c r="AD32" s="28"/>
      <c r="AE32" s="28"/>
      <c r="AF32" s="28"/>
      <c r="AG32" s="95"/>
      <c r="AH32" s="96"/>
      <c r="AI32" s="28"/>
      <c r="AJ32" s="28"/>
      <c r="AK32" s="28"/>
      <c r="AL32" s="28"/>
      <c r="AM32" s="95"/>
      <c r="AN32" s="96"/>
      <c r="AO32" s="28"/>
      <c r="AP32" s="28"/>
      <c r="AQ32" s="28"/>
      <c r="AR32" s="28"/>
      <c r="AS32" s="95"/>
      <c r="AT32" s="96"/>
      <c r="AU32" s="20"/>
    </row>
    <row r="33" spans="1:47" ht="13.75" customHeight="1">
      <c r="A33" s="90" t="s">
        <v>103</v>
      </c>
      <c r="B33" s="91"/>
      <c r="C33" s="92" t="s">
        <v>104</v>
      </c>
      <c r="D33" s="93"/>
      <c r="E33" s="94"/>
      <c r="F33" s="26" t="s">
        <v>105</v>
      </c>
      <c r="G33" s="90" t="s">
        <v>40</v>
      </c>
      <c r="H33" s="91"/>
      <c r="I33" s="90" t="s">
        <v>41</v>
      </c>
      <c r="J33" s="91"/>
      <c r="K33" s="27" t="s">
        <v>42</v>
      </c>
      <c r="L33" s="27" t="s">
        <v>42</v>
      </c>
      <c r="M33" s="33" t="s">
        <v>42</v>
      </c>
      <c r="N33" s="95"/>
      <c r="O33" s="96"/>
      <c r="P33" s="28"/>
      <c r="Q33" s="28"/>
      <c r="R33" s="95"/>
      <c r="S33" s="96"/>
      <c r="T33" s="28"/>
      <c r="U33" s="28"/>
      <c r="V33" s="28"/>
      <c r="W33" s="28"/>
      <c r="X33" s="95"/>
      <c r="Y33" s="96"/>
      <c r="Z33" s="28"/>
      <c r="AA33" s="28"/>
      <c r="AB33" s="28"/>
      <c r="AC33" s="28"/>
      <c r="AD33" s="28"/>
      <c r="AE33" s="28"/>
      <c r="AF33" s="28"/>
      <c r="AG33" s="95"/>
      <c r="AH33" s="96"/>
      <c r="AI33" s="28"/>
      <c r="AJ33" s="28"/>
      <c r="AK33" s="28"/>
      <c r="AL33" s="28"/>
      <c r="AM33" s="95"/>
      <c r="AN33" s="96"/>
      <c r="AO33" s="28"/>
      <c r="AP33" s="28"/>
      <c r="AQ33" s="28"/>
      <c r="AR33" s="28"/>
      <c r="AS33" s="95"/>
      <c r="AT33" s="96"/>
      <c r="AU33" s="20"/>
    </row>
    <row r="34" spans="1:47" ht="13.75" customHeight="1">
      <c r="A34" s="38"/>
      <c r="B34" s="39"/>
      <c r="C34" s="37" t="s">
        <v>175</v>
      </c>
      <c r="D34" s="40"/>
      <c r="E34" s="41"/>
      <c r="F34" s="26"/>
      <c r="G34" s="38"/>
      <c r="H34" s="39"/>
      <c r="I34" s="38"/>
      <c r="J34" s="39"/>
      <c r="K34" s="124" t="s">
        <v>42</v>
      </c>
      <c r="L34" s="124" t="s">
        <v>42</v>
      </c>
      <c r="M34" s="33" t="s">
        <v>42</v>
      </c>
      <c r="N34" s="35"/>
      <c r="O34" s="36"/>
      <c r="P34" s="28"/>
      <c r="Q34" s="28"/>
      <c r="R34" s="35"/>
      <c r="S34" s="36"/>
      <c r="T34" s="28"/>
      <c r="U34" s="28"/>
      <c r="V34" s="28"/>
      <c r="W34" s="28"/>
      <c r="X34" s="35"/>
      <c r="Y34" s="36"/>
      <c r="Z34" s="28"/>
      <c r="AA34" s="28"/>
      <c r="AB34" s="28"/>
      <c r="AC34" s="28"/>
      <c r="AD34" s="28"/>
      <c r="AE34" s="28"/>
      <c r="AF34" s="28"/>
      <c r="AG34" s="35"/>
      <c r="AH34" s="36"/>
      <c r="AI34" s="28"/>
      <c r="AJ34" s="28"/>
      <c r="AK34" s="28"/>
      <c r="AL34" s="28"/>
      <c r="AM34" s="35"/>
      <c r="AN34" s="36"/>
      <c r="AO34" s="28"/>
      <c r="AP34" s="28"/>
      <c r="AQ34" s="28"/>
      <c r="AR34" s="28"/>
      <c r="AS34" s="35"/>
      <c r="AT34" s="36"/>
      <c r="AU34" s="20"/>
    </row>
    <row r="35" spans="1:47" ht="13.75" customHeight="1">
      <c r="A35" s="90" t="s">
        <v>106</v>
      </c>
      <c r="B35" s="91"/>
      <c r="C35" s="92" t="s">
        <v>107</v>
      </c>
      <c r="D35" s="93"/>
      <c r="E35" s="94"/>
      <c r="F35" s="26" t="s">
        <v>108</v>
      </c>
      <c r="G35" s="90" t="s">
        <v>40</v>
      </c>
      <c r="H35" s="91"/>
      <c r="I35" s="90" t="s">
        <v>41</v>
      </c>
      <c r="J35" s="91"/>
      <c r="K35" s="27" t="s">
        <v>42</v>
      </c>
      <c r="L35" s="27" t="s">
        <v>42</v>
      </c>
      <c r="M35" s="28"/>
      <c r="N35" s="95"/>
      <c r="O35" s="96"/>
      <c r="P35" s="28"/>
      <c r="Q35" s="28"/>
      <c r="R35" s="95"/>
      <c r="S35" s="96"/>
      <c r="T35" s="28"/>
      <c r="U35" s="28"/>
      <c r="V35" s="28"/>
      <c r="W35" s="28"/>
      <c r="X35" s="95"/>
      <c r="Y35" s="96"/>
      <c r="Z35" s="28"/>
      <c r="AA35" s="28"/>
      <c r="AB35" s="28"/>
      <c r="AC35" s="28"/>
      <c r="AD35" s="28"/>
      <c r="AE35" s="28"/>
      <c r="AF35" s="28"/>
      <c r="AG35" s="95"/>
      <c r="AH35" s="96"/>
      <c r="AI35" s="28"/>
      <c r="AJ35" s="28"/>
      <c r="AK35" s="28"/>
      <c r="AL35" s="28"/>
      <c r="AM35" s="95"/>
      <c r="AN35" s="96"/>
      <c r="AO35" s="28"/>
      <c r="AP35" s="28"/>
      <c r="AQ35" s="28"/>
      <c r="AR35" s="28"/>
      <c r="AS35" s="95"/>
      <c r="AT35" s="96"/>
      <c r="AU35" s="20"/>
    </row>
    <row r="36" spans="1:47" ht="13.75" customHeight="1">
      <c r="A36" s="90" t="s">
        <v>109</v>
      </c>
      <c r="B36" s="91"/>
      <c r="C36" s="92" t="s">
        <v>110</v>
      </c>
      <c r="D36" s="93"/>
      <c r="E36" s="94"/>
      <c r="F36" s="26" t="s">
        <v>111</v>
      </c>
      <c r="G36" s="90" t="s">
        <v>40</v>
      </c>
      <c r="H36" s="91"/>
      <c r="I36" s="90" t="s">
        <v>41</v>
      </c>
      <c r="J36" s="91"/>
      <c r="K36" s="27" t="s">
        <v>42</v>
      </c>
      <c r="L36" s="27" t="s">
        <v>42</v>
      </c>
      <c r="M36" s="33" t="s">
        <v>42</v>
      </c>
      <c r="N36" s="95"/>
      <c r="O36" s="96"/>
      <c r="P36" s="28"/>
      <c r="Q36" s="28"/>
      <c r="R36" s="95"/>
      <c r="S36" s="96"/>
      <c r="T36" s="28"/>
      <c r="U36" s="28"/>
      <c r="V36" s="28"/>
      <c r="W36" s="28"/>
      <c r="X36" s="95"/>
      <c r="Y36" s="96"/>
      <c r="Z36" s="28"/>
      <c r="AA36" s="28"/>
      <c r="AB36" s="28"/>
      <c r="AC36" s="28"/>
      <c r="AD36" s="28"/>
      <c r="AE36" s="28"/>
      <c r="AF36" s="28"/>
      <c r="AG36" s="95"/>
      <c r="AH36" s="96"/>
      <c r="AI36" s="28"/>
      <c r="AJ36" s="28"/>
      <c r="AK36" s="28"/>
      <c r="AL36" s="28"/>
      <c r="AM36" s="95"/>
      <c r="AN36" s="96"/>
      <c r="AO36" s="28"/>
      <c r="AP36" s="28"/>
      <c r="AQ36" s="28"/>
      <c r="AR36" s="28"/>
      <c r="AS36" s="95"/>
      <c r="AT36" s="96"/>
      <c r="AU36" s="20"/>
    </row>
    <row r="37" spans="1:47" ht="13.75" customHeight="1">
      <c r="A37" s="90" t="s">
        <v>112</v>
      </c>
      <c r="B37" s="91"/>
      <c r="C37" s="92" t="s">
        <v>113</v>
      </c>
      <c r="D37" s="93"/>
      <c r="E37" s="94"/>
      <c r="F37" s="26" t="s">
        <v>114</v>
      </c>
      <c r="G37" s="90" t="s">
        <v>40</v>
      </c>
      <c r="H37" s="91"/>
      <c r="I37" s="90" t="s">
        <v>41</v>
      </c>
      <c r="J37" s="91"/>
      <c r="K37" s="27" t="s">
        <v>42</v>
      </c>
      <c r="L37" s="27" t="s">
        <v>42</v>
      </c>
      <c r="M37" s="28"/>
      <c r="N37" s="95"/>
      <c r="O37" s="96"/>
      <c r="P37" s="28"/>
      <c r="Q37" s="28"/>
      <c r="R37" s="95"/>
      <c r="S37" s="96"/>
      <c r="T37" s="28"/>
      <c r="U37" s="28"/>
      <c r="V37" s="28"/>
      <c r="W37" s="28"/>
      <c r="X37" s="95"/>
      <c r="Y37" s="96"/>
      <c r="Z37" s="28"/>
      <c r="AA37" s="28"/>
      <c r="AB37" s="28"/>
      <c r="AC37" s="28"/>
      <c r="AD37" s="28"/>
      <c r="AE37" s="28"/>
      <c r="AF37" s="28"/>
      <c r="AG37" s="95"/>
      <c r="AH37" s="96"/>
      <c r="AI37" s="28"/>
      <c r="AJ37" s="28"/>
      <c r="AK37" s="28"/>
      <c r="AL37" s="28"/>
      <c r="AM37" s="95"/>
      <c r="AN37" s="96"/>
      <c r="AO37" s="28"/>
      <c r="AP37" s="28"/>
      <c r="AQ37" s="28"/>
      <c r="AR37" s="28"/>
      <c r="AS37" s="95"/>
      <c r="AT37" s="96"/>
      <c r="AU37" s="20"/>
    </row>
    <row r="38" spans="1:47" ht="13.75" customHeight="1">
      <c r="A38" s="90" t="s">
        <v>115</v>
      </c>
      <c r="B38" s="91"/>
      <c r="C38" s="92" t="s">
        <v>116</v>
      </c>
      <c r="D38" s="93"/>
      <c r="E38" s="94"/>
      <c r="F38" s="26" t="s">
        <v>117</v>
      </c>
      <c r="G38" s="90" t="s">
        <v>118</v>
      </c>
      <c r="H38" s="91"/>
      <c r="I38" s="90" t="s">
        <v>41</v>
      </c>
      <c r="J38" s="91"/>
      <c r="K38" s="27" t="s">
        <v>42</v>
      </c>
      <c r="L38" s="27" t="s">
        <v>42</v>
      </c>
      <c r="M38" s="33" t="s">
        <v>42</v>
      </c>
      <c r="N38" s="95"/>
      <c r="O38" s="96"/>
      <c r="P38" s="28"/>
      <c r="Q38" s="28"/>
      <c r="R38" s="95"/>
      <c r="S38" s="96"/>
      <c r="T38" s="28"/>
      <c r="U38" s="28"/>
      <c r="V38" s="28"/>
      <c r="W38" s="28"/>
      <c r="X38" s="95"/>
      <c r="Y38" s="96"/>
      <c r="Z38" s="28"/>
      <c r="AA38" s="28"/>
      <c r="AB38" s="28"/>
      <c r="AC38" s="28"/>
      <c r="AD38" s="28"/>
      <c r="AE38" s="28"/>
      <c r="AF38" s="28"/>
      <c r="AG38" s="95"/>
      <c r="AH38" s="96"/>
      <c r="AI38" s="28"/>
      <c r="AJ38" s="28"/>
      <c r="AK38" s="28"/>
      <c r="AL38" s="28"/>
      <c r="AM38" s="95"/>
      <c r="AN38" s="96"/>
      <c r="AO38" s="28"/>
      <c r="AP38" s="28"/>
      <c r="AQ38" s="28"/>
      <c r="AR38" s="28"/>
      <c r="AS38" s="95"/>
      <c r="AT38" s="96"/>
      <c r="AU38" s="20"/>
    </row>
    <row r="39" spans="1:47" ht="13.75" customHeight="1">
      <c r="A39" s="90" t="s">
        <v>119</v>
      </c>
      <c r="B39" s="91"/>
      <c r="C39" s="92" t="s">
        <v>120</v>
      </c>
      <c r="D39" s="93"/>
      <c r="E39" s="94"/>
      <c r="F39" s="26" t="s">
        <v>121</v>
      </c>
      <c r="G39" s="90" t="s">
        <v>40</v>
      </c>
      <c r="H39" s="91"/>
      <c r="I39" s="90" t="s">
        <v>41</v>
      </c>
      <c r="J39" s="91"/>
      <c r="K39" s="27" t="s">
        <v>42</v>
      </c>
      <c r="L39" s="27" t="s">
        <v>42</v>
      </c>
      <c r="M39" s="28"/>
      <c r="N39" s="95"/>
      <c r="O39" s="96"/>
      <c r="P39" s="28"/>
      <c r="Q39" s="28"/>
      <c r="R39" s="95"/>
      <c r="S39" s="96"/>
      <c r="T39" s="28"/>
      <c r="U39" s="28"/>
      <c r="V39" s="28"/>
      <c r="W39" s="28"/>
      <c r="X39" s="95"/>
      <c r="Y39" s="96"/>
      <c r="Z39" s="28"/>
      <c r="AA39" s="28"/>
      <c r="AB39" s="28"/>
      <c r="AC39" s="28"/>
      <c r="AD39" s="28"/>
      <c r="AE39" s="28"/>
      <c r="AF39" s="28"/>
      <c r="AG39" s="95"/>
      <c r="AH39" s="96"/>
      <c r="AI39" s="28"/>
      <c r="AJ39" s="28"/>
      <c r="AK39" s="28"/>
      <c r="AL39" s="28"/>
      <c r="AM39" s="95"/>
      <c r="AN39" s="96"/>
      <c r="AO39" s="28"/>
      <c r="AP39" s="28"/>
      <c r="AQ39" s="28"/>
      <c r="AR39" s="28"/>
      <c r="AS39" s="95"/>
      <c r="AT39" s="96"/>
      <c r="AU39" s="20"/>
    </row>
    <row r="40" spans="1:47" ht="13.75" customHeight="1">
      <c r="A40" s="90" t="s">
        <v>122</v>
      </c>
      <c r="B40" s="91"/>
      <c r="C40" s="92" t="s">
        <v>123</v>
      </c>
      <c r="D40" s="93"/>
      <c r="E40" s="94"/>
      <c r="F40" s="26" t="s">
        <v>124</v>
      </c>
      <c r="G40" s="90" t="s">
        <v>40</v>
      </c>
      <c r="H40" s="91"/>
      <c r="I40" s="90" t="s">
        <v>41</v>
      </c>
      <c r="J40" s="91"/>
      <c r="K40" s="27" t="s">
        <v>42</v>
      </c>
      <c r="L40" s="27" t="s">
        <v>42</v>
      </c>
      <c r="M40" s="28"/>
      <c r="N40" s="95"/>
      <c r="O40" s="96"/>
      <c r="P40" s="28"/>
      <c r="Q40" s="28"/>
      <c r="R40" s="95"/>
      <c r="S40" s="96"/>
      <c r="T40" s="28"/>
      <c r="U40" s="28"/>
      <c r="V40" s="28"/>
      <c r="W40" s="28"/>
      <c r="X40" s="95"/>
      <c r="Y40" s="96"/>
      <c r="Z40" s="28"/>
      <c r="AA40" s="28"/>
      <c r="AB40" s="28"/>
      <c r="AC40" s="28"/>
      <c r="AD40" s="28"/>
      <c r="AE40" s="28"/>
      <c r="AF40" s="28"/>
      <c r="AG40" s="95"/>
      <c r="AH40" s="96"/>
      <c r="AI40" s="28"/>
      <c r="AJ40" s="28"/>
      <c r="AK40" s="28"/>
      <c r="AL40" s="28"/>
      <c r="AM40" s="95"/>
      <c r="AN40" s="96"/>
      <c r="AO40" s="28"/>
      <c r="AP40" s="28"/>
      <c r="AQ40" s="28"/>
      <c r="AR40" s="28"/>
      <c r="AS40" s="95"/>
      <c r="AT40" s="96"/>
      <c r="AU40" s="20"/>
    </row>
    <row r="41" spans="1:47" ht="13.75" customHeight="1">
      <c r="A41" s="90" t="s">
        <v>125</v>
      </c>
      <c r="B41" s="91"/>
      <c r="C41" s="92" t="s">
        <v>126</v>
      </c>
      <c r="D41" s="93"/>
      <c r="E41" s="94"/>
      <c r="F41" s="26" t="s">
        <v>127</v>
      </c>
      <c r="G41" s="90" t="s">
        <v>40</v>
      </c>
      <c r="H41" s="91"/>
      <c r="I41" s="90" t="s">
        <v>41</v>
      </c>
      <c r="J41" s="91"/>
      <c r="K41" s="27" t="s">
        <v>42</v>
      </c>
      <c r="L41" s="27" t="s">
        <v>42</v>
      </c>
      <c r="M41" s="28"/>
      <c r="N41" s="95"/>
      <c r="O41" s="96"/>
      <c r="P41" s="28"/>
      <c r="Q41" s="28"/>
      <c r="R41" s="95"/>
      <c r="S41" s="96"/>
      <c r="T41" s="28"/>
      <c r="U41" s="28"/>
      <c r="V41" s="28"/>
      <c r="W41" s="28"/>
      <c r="X41" s="95"/>
      <c r="Y41" s="96"/>
      <c r="Z41" s="28"/>
      <c r="AA41" s="28"/>
      <c r="AB41" s="28"/>
      <c r="AC41" s="28"/>
      <c r="AD41" s="28"/>
      <c r="AE41" s="28"/>
      <c r="AF41" s="28"/>
      <c r="AG41" s="95"/>
      <c r="AH41" s="96"/>
      <c r="AI41" s="28"/>
      <c r="AJ41" s="28"/>
      <c r="AK41" s="28"/>
      <c r="AL41" s="28"/>
      <c r="AM41" s="95"/>
      <c r="AN41" s="96"/>
      <c r="AO41" s="28"/>
      <c r="AP41" s="28"/>
      <c r="AQ41" s="28"/>
      <c r="AR41" s="28"/>
      <c r="AS41" s="95"/>
      <c r="AT41" s="96"/>
      <c r="AU41" s="20"/>
    </row>
    <row r="42" spans="1:47" ht="13.75" customHeight="1">
      <c r="A42" s="90" t="s">
        <v>128</v>
      </c>
      <c r="B42" s="91"/>
      <c r="C42" s="92" t="s">
        <v>129</v>
      </c>
      <c r="D42" s="93"/>
      <c r="E42" s="94"/>
      <c r="F42" s="26" t="s">
        <v>130</v>
      </c>
      <c r="G42" s="90" t="s">
        <v>40</v>
      </c>
      <c r="H42" s="91"/>
      <c r="I42" s="90" t="s">
        <v>41</v>
      </c>
      <c r="J42" s="91"/>
      <c r="K42" s="27" t="s">
        <v>42</v>
      </c>
      <c r="L42" s="27" t="s">
        <v>42</v>
      </c>
      <c r="M42" s="28"/>
      <c r="N42" s="95"/>
      <c r="O42" s="96"/>
      <c r="P42" s="28"/>
      <c r="Q42" s="28"/>
      <c r="R42" s="95"/>
      <c r="S42" s="96"/>
      <c r="T42" s="28"/>
      <c r="U42" s="28"/>
      <c r="V42" s="28"/>
      <c r="W42" s="28"/>
      <c r="X42" s="95"/>
      <c r="Y42" s="96"/>
      <c r="Z42" s="28"/>
      <c r="AA42" s="28"/>
      <c r="AB42" s="28"/>
      <c r="AC42" s="28"/>
      <c r="AD42" s="28"/>
      <c r="AE42" s="28"/>
      <c r="AF42" s="28"/>
      <c r="AG42" s="95"/>
      <c r="AH42" s="96"/>
      <c r="AI42" s="28"/>
      <c r="AJ42" s="28"/>
      <c r="AK42" s="28"/>
      <c r="AL42" s="28"/>
      <c r="AM42" s="95"/>
      <c r="AN42" s="96"/>
      <c r="AO42" s="28"/>
      <c r="AP42" s="28"/>
      <c r="AQ42" s="28"/>
      <c r="AR42" s="28"/>
      <c r="AS42" s="95"/>
      <c r="AT42" s="96"/>
      <c r="AU42" s="20"/>
    </row>
    <row r="43" spans="1:47" ht="13.75" customHeight="1">
      <c r="A43" s="90" t="s">
        <v>131</v>
      </c>
      <c r="B43" s="91"/>
      <c r="C43" s="92" t="s">
        <v>132</v>
      </c>
      <c r="D43" s="93"/>
      <c r="E43" s="94"/>
      <c r="F43" s="26" t="s">
        <v>133</v>
      </c>
      <c r="G43" s="90" t="s">
        <v>40</v>
      </c>
      <c r="H43" s="91"/>
      <c r="I43" s="90" t="s">
        <v>41</v>
      </c>
      <c r="J43" s="91"/>
      <c r="K43" s="27" t="s">
        <v>42</v>
      </c>
      <c r="L43" s="27" t="s">
        <v>42</v>
      </c>
      <c r="M43" s="33" t="s">
        <v>42</v>
      </c>
      <c r="N43" s="95"/>
      <c r="O43" s="96"/>
      <c r="P43" s="28"/>
      <c r="Q43" s="28"/>
      <c r="R43" s="95"/>
      <c r="S43" s="96"/>
      <c r="T43" s="28"/>
      <c r="U43" s="28"/>
      <c r="V43" s="28"/>
      <c r="W43" s="28"/>
      <c r="X43" s="95"/>
      <c r="Y43" s="96"/>
      <c r="Z43" s="28"/>
      <c r="AA43" s="28"/>
      <c r="AB43" s="28"/>
      <c r="AC43" s="28"/>
      <c r="AD43" s="28"/>
      <c r="AE43" s="28"/>
      <c r="AF43" s="28"/>
      <c r="AG43" s="95"/>
      <c r="AH43" s="96"/>
      <c r="AI43" s="28"/>
      <c r="AJ43" s="28"/>
      <c r="AK43" s="28"/>
      <c r="AL43" s="28"/>
      <c r="AM43" s="95"/>
      <c r="AN43" s="96"/>
      <c r="AO43" s="28"/>
      <c r="AP43" s="28"/>
      <c r="AQ43" s="28"/>
      <c r="AR43" s="28"/>
      <c r="AS43" s="95"/>
      <c r="AT43" s="96"/>
      <c r="AU43" s="20"/>
    </row>
    <row r="44" spans="1:47" ht="13.75" customHeight="1">
      <c r="A44" s="90" t="s">
        <v>134</v>
      </c>
      <c r="B44" s="91"/>
      <c r="C44" s="92" t="s">
        <v>135</v>
      </c>
      <c r="D44" s="93"/>
      <c r="E44" s="94"/>
      <c r="F44" s="26" t="s">
        <v>136</v>
      </c>
      <c r="G44" s="90" t="s">
        <v>40</v>
      </c>
      <c r="H44" s="91"/>
      <c r="I44" s="90" t="s">
        <v>41</v>
      </c>
      <c r="J44" s="91"/>
      <c r="K44" s="27" t="s">
        <v>42</v>
      </c>
      <c r="L44" s="27" t="s">
        <v>42</v>
      </c>
      <c r="M44" s="33" t="s">
        <v>42</v>
      </c>
      <c r="N44" s="95"/>
      <c r="O44" s="96"/>
      <c r="P44" s="28"/>
      <c r="Q44" s="28"/>
      <c r="R44" s="95"/>
      <c r="S44" s="96"/>
      <c r="T44" s="28"/>
      <c r="U44" s="28"/>
      <c r="V44" s="28"/>
      <c r="W44" s="28"/>
      <c r="X44" s="95"/>
      <c r="Y44" s="96"/>
      <c r="Z44" s="28"/>
      <c r="AA44" s="28"/>
      <c r="AB44" s="28"/>
      <c r="AC44" s="28"/>
      <c r="AD44" s="28"/>
      <c r="AE44" s="28"/>
      <c r="AF44" s="28"/>
      <c r="AG44" s="95"/>
      <c r="AH44" s="96"/>
      <c r="AI44" s="28"/>
      <c r="AJ44" s="28"/>
      <c r="AK44" s="28"/>
      <c r="AL44" s="28"/>
      <c r="AM44" s="95"/>
      <c r="AN44" s="96"/>
      <c r="AO44" s="28"/>
      <c r="AP44" s="28"/>
      <c r="AQ44" s="28"/>
      <c r="AR44" s="28"/>
      <c r="AS44" s="95"/>
      <c r="AT44" s="96"/>
      <c r="AU44" s="20"/>
    </row>
    <row r="45" spans="1:47" ht="13.75" customHeight="1">
      <c r="A45" s="90" t="s">
        <v>137</v>
      </c>
      <c r="B45" s="91"/>
      <c r="C45" s="92" t="s">
        <v>138</v>
      </c>
      <c r="D45" s="93"/>
      <c r="E45" s="94"/>
      <c r="F45" s="26" t="s">
        <v>139</v>
      </c>
      <c r="G45" s="90" t="s">
        <v>40</v>
      </c>
      <c r="H45" s="91"/>
      <c r="I45" s="90" t="s">
        <v>41</v>
      </c>
      <c r="J45" s="91"/>
      <c r="K45" s="27" t="s">
        <v>42</v>
      </c>
      <c r="L45" s="27" t="s">
        <v>42</v>
      </c>
      <c r="M45" s="28"/>
      <c r="N45" s="95"/>
      <c r="O45" s="96"/>
      <c r="P45" s="28"/>
      <c r="Q45" s="28"/>
      <c r="R45" s="95"/>
      <c r="S45" s="96"/>
      <c r="T45" s="28"/>
      <c r="U45" s="28"/>
      <c r="V45" s="28"/>
      <c r="W45" s="28"/>
      <c r="X45" s="95"/>
      <c r="Y45" s="96"/>
      <c r="Z45" s="28"/>
      <c r="AA45" s="28"/>
      <c r="AB45" s="28"/>
      <c r="AC45" s="28"/>
      <c r="AD45" s="28"/>
      <c r="AE45" s="28"/>
      <c r="AF45" s="28"/>
      <c r="AG45" s="95"/>
      <c r="AH45" s="96"/>
      <c r="AI45" s="28"/>
      <c r="AJ45" s="28"/>
      <c r="AK45" s="28"/>
      <c r="AL45" s="28"/>
      <c r="AM45" s="95"/>
      <c r="AN45" s="96"/>
      <c r="AO45" s="28"/>
      <c r="AP45" s="28"/>
      <c r="AQ45" s="28"/>
      <c r="AR45" s="28"/>
      <c r="AS45" s="95"/>
      <c r="AT45" s="96"/>
      <c r="AU45" s="20"/>
    </row>
    <row r="46" spans="1:47" ht="13.75" customHeight="1">
      <c r="A46" s="90" t="s">
        <v>140</v>
      </c>
      <c r="B46" s="91"/>
      <c r="C46" s="92" t="s">
        <v>141</v>
      </c>
      <c r="D46" s="93"/>
      <c r="E46" s="94"/>
      <c r="F46" s="26" t="s">
        <v>142</v>
      </c>
      <c r="G46" s="90" t="s">
        <v>40</v>
      </c>
      <c r="H46" s="91"/>
      <c r="I46" s="90" t="s">
        <v>41</v>
      </c>
      <c r="J46" s="91"/>
      <c r="K46" s="27" t="s">
        <v>42</v>
      </c>
      <c r="L46" s="27" t="s">
        <v>42</v>
      </c>
      <c r="M46" s="28"/>
      <c r="N46" s="95"/>
      <c r="O46" s="96"/>
      <c r="P46" s="28"/>
      <c r="Q46" s="28"/>
      <c r="R46" s="95"/>
      <c r="S46" s="96"/>
      <c r="T46" s="28"/>
      <c r="U46" s="28"/>
      <c r="V46" s="28"/>
      <c r="W46" s="28"/>
      <c r="X46" s="95"/>
      <c r="Y46" s="96"/>
      <c r="Z46" s="28"/>
      <c r="AA46" s="28"/>
      <c r="AB46" s="28"/>
      <c r="AC46" s="28"/>
      <c r="AD46" s="28"/>
      <c r="AE46" s="28"/>
      <c r="AF46" s="28"/>
      <c r="AG46" s="95"/>
      <c r="AH46" s="96"/>
      <c r="AI46" s="28"/>
      <c r="AJ46" s="28"/>
      <c r="AK46" s="28"/>
      <c r="AL46" s="28"/>
      <c r="AM46" s="95"/>
      <c r="AN46" s="96"/>
      <c r="AO46" s="28"/>
      <c r="AP46" s="28"/>
      <c r="AQ46" s="28"/>
      <c r="AR46" s="28"/>
      <c r="AS46" s="95"/>
      <c r="AT46" s="96"/>
      <c r="AU46" s="20"/>
    </row>
    <row r="47" spans="1:47" ht="13.75" customHeight="1">
      <c r="A47" s="90" t="s">
        <v>143</v>
      </c>
      <c r="B47" s="91"/>
      <c r="C47" s="92" t="s">
        <v>144</v>
      </c>
      <c r="D47" s="93"/>
      <c r="E47" s="94"/>
      <c r="F47" s="26" t="s">
        <v>145</v>
      </c>
      <c r="G47" s="90" t="s">
        <v>40</v>
      </c>
      <c r="H47" s="91"/>
      <c r="I47" s="90" t="s">
        <v>41</v>
      </c>
      <c r="J47" s="91"/>
      <c r="K47" s="27" t="s">
        <v>42</v>
      </c>
      <c r="L47" s="27" t="s">
        <v>42</v>
      </c>
      <c r="M47" s="28"/>
      <c r="N47" s="95"/>
      <c r="O47" s="96"/>
      <c r="P47" s="28"/>
      <c r="Q47" s="28"/>
      <c r="R47" s="95"/>
      <c r="S47" s="96"/>
      <c r="T47" s="28"/>
      <c r="U47" s="28"/>
      <c r="V47" s="28"/>
      <c r="W47" s="28"/>
      <c r="X47" s="95"/>
      <c r="Y47" s="96"/>
      <c r="Z47" s="28"/>
      <c r="AA47" s="28"/>
      <c r="AB47" s="28"/>
      <c r="AC47" s="28"/>
      <c r="AD47" s="28"/>
      <c r="AE47" s="28"/>
      <c r="AF47" s="28"/>
      <c r="AG47" s="95"/>
      <c r="AH47" s="96"/>
      <c r="AI47" s="28"/>
      <c r="AJ47" s="28"/>
      <c r="AK47" s="28"/>
      <c r="AL47" s="28"/>
      <c r="AM47" s="95"/>
      <c r="AN47" s="96"/>
      <c r="AO47" s="28"/>
      <c r="AP47" s="28"/>
      <c r="AQ47" s="28"/>
      <c r="AR47" s="28"/>
      <c r="AS47" s="95"/>
      <c r="AT47" s="96"/>
      <c r="AU47" s="20"/>
    </row>
    <row r="48" spans="1:47" ht="13.75" customHeight="1">
      <c r="A48" s="90" t="s">
        <v>146</v>
      </c>
      <c r="B48" s="91"/>
      <c r="C48" s="92" t="s">
        <v>147</v>
      </c>
      <c r="D48" s="93"/>
      <c r="E48" s="94"/>
      <c r="F48" s="26" t="s">
        <v>148</v>
      </c>
      <c r="G48" s="90" t="s">
        <v>40</v>
      </c>
      <c r="H48" s="91"/>
      <c r="I48" s="90" t="s">
        <v>41</v>
      </c>
      <c r="J48" s="91"/>
      <c r="K48" s="27" t="s">
        <v>42</v>
      </c>
      <c r="L48" s="27" t="s">
        <v>42</v>
      </c>
      <c r="M48" s="33" t="s">
        <v>42</v>
      </c>
      <c r="N48" s="95"/>
      <c r="O48" s="96"/>
      <c r="P48" s="28"/>
      <c r="Q48" s="28"/>
      <c r="R48" s="95"/>
      <c r="S48" s="96"/>
      <c r="T48" s="28"/>
      <c r="U48" s="28"/>
      <c r="V48" s="28"/>
      <c r="W48" s="28"/>
      <c r="X48" s="95"/>
      <c r="Y48" s="96"/>
      <c r="Z48" s="28"/>
      <c r="AA48" s="28"/>
      <c r="AB48" s="28"/>
      <c r="AC48" s="28"/>
      <c r="AD48" s="28"/>
      <c r="AE48" s="28"/>
      <c r="AF48" s="28"/>
      <c r="AG48" s="95"/>
      <c r="AH48" s="96"/>
      <c r="AI48" s="28"/>
      <c r="AJ48" s="28"/>
      <c r="AK48" s="28"/>
      <c r="AL48" s="28"/>
      <c r="AM48" s="95"/>
      <c r="AN48" s="96"/>
      <c r="AO48" s="28"/>
      <c r="AP48" s="28"/>
      <c r="AQ48" s="28"/>
      <c r="AR48" s="28"/>
      <c r="AS48" s="95"/>
      <c r="AT48" s="96"/>
      <c r="AU48" s="20"/>
    </row>
    <row r="49" spans="1:47" ht="15" customHeight="1">
      <c r="A49" s="114"/>
      <c r="B49" s="115"/>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7"/>
    </row>
    <row r="50" spans="1:47" ht="15" customHeight="1">
      <c r="A50" s="103"/>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04"/>
      <c r="AO50" s="104"/>
      <c r="AP50" s="104"/>
      <c r="AQ50" s="104"/>
      <c r="AR50" s="104"/>
      <c r="AS50" s="104"/>
      <c r="AT50" s="104"/>
      <c r="AU50" s="105"/>
    </row>
    <row r="51" spans="1:47" ht="15" customHeight="1">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104"/>
      <c r="AP51" s="104"/>
      <c r="AQ51" s="104"/>
      <c r="AR51" s="104"/>
      <c r="AS51" s="104"/>
      <c r="AT51" s="104"/>
      <c r="AU51" s="105"/>
    </row>
    <row r="52" spans="1:47" ht="15" customHeight="1">
      <c r="A52" s="103"/>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c r="AN52" s="104"/>
      <c r="AO52" s="104"/>
      <c r="AP52" s="104"/>
      <c r="AQ52" s="104"/>
      <c r="AR52" s="104"/>
      <c r="AS52" s="104"/>
      <c r="AT52" s="104"/>
      <c r="AU52" s="105"/>
    </row>
    <row r="53" spans="1:47" ht="15" customHeight="1">
      <c r="A53" s="103"/>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c r="AN53" s="104"/>
      <c r="AO53" s="104"/>
      <c r="AP53" s="104"/>
      <c r="AQ53" s="104"/>
      <c r="AR53" s="104"/>
      <c r="AS53" s="104"/>
      <c r="AT53" s="104"/>
      <c r="AU53" s="105"/>
    </row>
    <row r="54" spans="1:47" ht="15" customHeight="1">
      <c r="A54" s="103"/>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c r="AJ54" s="104"/>
      <c r="AK54" s="104"/>
      <c r="AL54" s="104"/>
      <c r="AM54" s="104"/>
      <c r="AN54" s="104"/>
      <c r="AO54" s="104"/>
      <c r="AP54" s="104"/>
      <c r="AQ54" s="104"/>
      <c r="AR54" s="104"/>
      <c r="AS54" s="104"/>
      <c r="AT54" s="104"/>
      <c r="AU54" s="105"/>
    </row>
    <row r="55" spans="1:47" ht="15" customHeight="1">
      <c r="A55" s="103"/>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04"/>
      <c r="AO55" s="104"/>
      <c r="AP55" s="104"/>
      <c r="AQ55" s="104"/>
      <c r="AR55" s="104"/>
      <c r="AS55" s="104"/>
      <c r="AT55" s="104"/>
      <c r="AU55" s="105"/>
    </row>
    <row r="56" spans="1:47" ht="15" customHeight="1">
      <c r="A56" s="103"/>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04"/>
      <c r="AO56" s="104"/>
      <c r="AP56" s="104"/>
      <c r="AQ56" s="104"/>
      <c r="AR56" s="104"/>
      <c r="AS56" s="104"/>
      <c r="AT56" s="104"/>
      <c r="AU56" s="105"/>
    </row>
    <row r="57" spans="1:47" ht="15" customHeight="1">
      <c r="A57" s="103"/>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04"/>
      <c r="AO57" s="104"/>
      <c r="AP57" s="104"/>
      <c r="AQ57" s="104"/>
      <c r="AR57" s="104"/>
      <c r="AS57" s="104"/>
      <c r="AT57" s="104"/>
      <c r="AU57" s="105"/>
    </row>
    <row r="58" spans="1:47" ht="15" customHeight="1">
      <c r="A58" s="121"/>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3"/>
    </row>
  </sheetData>
  <mergeCells count="408">
    <mergeCell ref="A57:AU57"/>
    <mergeCell ref="A58:AU58"/>
    <mergeCell ref="AS48:AT48"/>
    <mergeCell ref="A49:AU49"/>
    <mergeCell ref="A50:AU50"/>
    <mergeCell ref="A51:AU51"/>
    <mergeCell ref="A52:AU52"/>
    <mergeCell ref="A53:AU53"/>
    <mergeCell ref="A54:AU54"/>
    <mergeCell ref="A55:AU55"/>
    <mergeCell ref="A56:AU56"/>
    <mergeCell ref="A48:B48"/>
    <mergeCell ref="C48:E48"/>
    <mergeCell ref="G48:H48"/>
    <mergeCell ref="I48:J48"/>
    <mergeCell ref="N48:O48"/>
    <mergeCell ref="R48:S48"/>
    <mergeCell ref="X48:Y48"/>
    <mergeCell ref="AG48:AH48"/>
    <mergeCell ref="AM48:AN48"/>
    <mergeCell ref="AS46:AT46"/>
    <mergeCell ref="A47:B47"/>
    <mergeCell ref="C47:E47"/>
    <mergeCell ref="G47:H47"/>
    <mergeCell ref="I47:J47"/>
    <mergeCell ref="N47:O47"/>
    <mergeCell ref="R47:S47"/>
    <mergeCell ref="X47:Y47"/>
    <mergeCell ref="AG47:AH47"/>
    <mergeCell ref="AM47:AN47"/>
    <mergeCell ref="AS47:AT47"/>
    <mergeCell ref="A46:B46"/>
    <mergeCell ref="C46:E46"/>
    <mergeCell ref="G46:H46"/>
    <mergeCell ref="I46:J46"/>
    <mergeCell ref="N46:O46"/>
    <mergeCell ref="R46:S46"/>
    <mergeCell ref="X46:Y46"/>
    <mergeCell ref="AG46:AH46"/>
    <mergeCell ref="AM46:AN46"/>
    <mergeCell ref="AS44:AT44"/>
    <mergeCell ref="A45:B45"/>
    <mergeCell ref="C45:E45"/>
    <mergeCell ref="G45:H45"/>
    <mergeCell ref="I45:J45"/>
    <mergeCell ref="N45:O45"/>
    <mergeCell ref="R45:S45"/>
    <mergeCell ref="X45:Y45"/>
    <mergeCell ref="AG45:AH45"/>
    <mergeCell ref="AM45:AN45"/>
    <mergeCell ref="AS45:AT45"/>
    <mergeCell ref="A44:B44"/>
    <mergeCell ref="C44:E44"/>
    <mergeCell ref="G44:H44"/>
    <mergeCell ref="I44:J44"/>
    <mergeCell ref="N44:O44"/>
    <mergeCell ref="R44:S44"/>
    <mergeCell ref="X44:Y44"/>
    <mergeCell ref="AG44:AH44"/>
    <mergeCell ref="AM44:AN44"/>
    <mergeCell ref="AS42:AT42"/>
    <mergeCell ref="A43:B43"/>
    <mergeCell ref="C43:E43"/>
    <mergeCell ref="G43:H43"/>
    <mergeCell ref="I43:J43"/>
    <mergeCell ref="N43:O43"/>
    <mergeCell ref="R43:S43"/>
    <mergeCell ref="X43:Y43"/>
    <mergeCell ref="AG43:AH43"/>
    <mergeCell ref="AM43:AN43"/>
    <mergeCell ref="AS43:AT43"/>
    <mergeCell ref="A42:B42"/>
    <mergeCell ref="C42:E42"/>
    <mergeCell ref="G42:H42"/>
    <mergeCell ref="I42:J42"/>
    <mergeCell ref="N42:O42"/>
    <mergeCell ref="R42:S42"/>
    <mergeCell ref="X42:Y42"/>
    <mergeCell ref="AG42:AH42"/>
    <mergeCell ref="AM42:AN42"/>
    <mergeCell ref="AS40:AT40"/>
    <mergeCell ref="A41:B41"/>
    <mergeCell ref="C41:E41"/>
    <mergeCell ref="G41:H41"/>
    <mergeCell ref="I41:J41"/>
    <mergeCell ref="N41:O41"/>
    <mergeCell ref="R41:S41"/>
    <mergeCell ref="X41:Y41"/>
    <mergeCell ref="AG41:AH41"/>
    <mergeCell ref="AM41:AN41"/>
    <mergeCell ref="AS41:AT41"/>
    <mergeCell ref="A40:B40"/>
    <mergeCell ref="C40:E40"/>
    <mergeCell ref="G40:H40"/>
    <mergeCell ref="I40:J40"/>
    <mergeCell ref="N40:O40"/>
    <mergeCell ref="R40:S40"/>
    <mergeCell ref="X40:Y40"/>
    <mergeCell ref="AG40:AH40"/>
    <mergeCell ref="AM40:AN40"/>
    <mergeCell ref="AS38:AT38"/>
    <mergeCell ref="A39:B39"/>
    <mergeCell ref="C39:E39"/>
    <mergeCell ref="G39:H39"/>
    <mergeCell ref="I39:J39"/>
    <mergeCell ref="N39:O39"/>
    <mergeCell ref="R39:S39"/>
    <mergeCell ref="X39:Y39"/>
    <mergeCell ref="AG39:AH39"/>
    <mergeCell ref="AM39:AN39"/>
    <mergeCell ref="AS39:AT39"/>
    <mergeCell ref="A38:B38"/>
    <mergeCell ref="C38:E38"/>
    <mergeCell ref="G38:H38"/>
    <mergeCell ref="I38:J38"/>
    <mergeCell ref="N38:O38"/>
    <mergeCell ref="R38:S38"/>
    <mergeCell ref="X38:Y38"/>
    <mergeCell ref="AG38:AH38"/>
    <mergeCell ref="AM38:AN38"/>
    <mergeCell ref="AS36:AT36"/>
    <mergeCell ref="A37:B37"/>
    <mergeCell ref="C37:E37"/>
    <mergeCell ref="G37:H37"/>
    <mergeCell ref="I37:J37"/>
    <mergeCell ref="N37:O37"/>
    <mergeCell ref="R37:S37"/>
    <mergeCell ref="X37:Y37"/>
    <mergeCell ref="AG37:AH37"/>
    <mergeCell ref="AM37:AN37"/>
    <mergeCell ref="AS37:AT37"/>
    <mergeCell ref="A36:B36"/>
    <mergeCell ref="C36:E36"/>
    <mergeCell ref="G36:H36"/>
    <mergeCell ref="I36:J36"/>
    <mergeCell ref="N36:O36"/>
    <mergeCell ref="R36:S36"/>
    <mergeCell ref="X36:Y36"/>
    <mergeCell ref="AG36:AH36"/>
    <mergeCell ref="AM36:AN36"/>
    <mergeCell ref="AS33:AT33"/>
    <mergeCell ref="A35:B35"/>
    <mergeCell ref="C35:E35"/>
    <mergeCell ref="G35:H35"/>
    <mergeCell ref="I35:J35"/>
    <mergeCell ref="N35:O35"/>
    <mergeCell ref="R35:S35"/>
    <mergeCell ref="X35:Y35"/>
    <mergeCell ref="AG35:AH35"/>
    <mergeCell ref="AM35:AN35"/>
    <mergeCell ref="AS35:AT35"/>
    <mergeCell ref="A33:B33"/>
    <mergeCell ref="C33:E33"/>
    <mergeCell ref="G33:H33"/>
    <mergeCell ref="I33:J33"/>
    <mergeCell ref="N33:O33"/>
    <mergeCell ref="R33:S33"/>
    <mergeCell ref="X33:Y33"/>
    <mergeCell ref="AG33:AH33"/>
    <mergeCell ref="AM33:AN33"/>
    <mergeCell ref="AS31:AT31"/>
    <mergeCell ref="A32:B32"/>
    <mergeCell ref="C32:E32"/>
    <mergeCell ref="G32:H32"/>
    <mergeCell ref="I32:J32"/>
    <mergeCell ref="N32:O32"/>
    <mergeCell ref="R32:S32"/>
    <mergeCell ref="X32:Y32"/>
    <mergeCell ref="AG32:AH32"/>
    <mergeCell ref="AM32:AN32"/>
    <mergeCell ref="AS32:AT32"/>
    <mergeCell ref="A31:B31"/>
    <mergeCell ref="C31:E31"/>
    <mergeCell ref="G31:H31"/>
    <mergeCell ref="I31:J31"/>
    <mergeCell ref="N31:O31"/>
    <mergeCell ref="R31:S31"/>
    <mergeCell ref="X31:Y31"/>
    <mergeCell ref="AG31:AH31"/>
    <mergeCell ref="AM31:AN31"/>
    <mergeCell ref="AS29:AT29"/>
    <mergeCell ref="A30:B30"/>
    <mergeCell ref="C30:E30"/>
    <mergeCell ref="G30:H30"/>
    <mergeCell ref="I30:J30"/>
    <mergeCell ref="N30:O30"/>
    <mergeCell ref="R30:S30"/>
    <mergeCell ref="X30:Y30"/>
    <mergeCell ref="AG30:AH30"/>
    <mergeCell ref="AM30:AN30"/>
    <mergeCell ref="AS30:AT30"/>
    <mergeCell ref="A29:B29"/>
    <mergeCell ref="C29:E29"/>
    <mergeCell ref="G29:H29"/>
    <mergeCell ref="I29:J29"/>
    <mergeCell ref="N29:O29"/>
    <mergeCell ref="R29:S29"/>
    <mergeCell ref="X29:Y29"/>
    <mergeCell ref="AG29:AH29"/>
    <mergeCell ref="AM29:AN29"/>
    <mergeCell ref="AS27:AT27"/>
    <mergeCell ref="A28:B28"/>
    <mergeCell ref="C28:E28"/>
    <mergeCell ref="G28:H28"/>
    <mergeCell ref="I28:J28"/>
    <mergeCell ref="N28:O28"/>
    <mergeCell ref="R28:S28"/>
    <mergeCell ref="X28:Y28"/>
    <mergeCell ref="AG28:AH28"/>
    <mergeCell ref="AM28:AN28"/>
    <mergeCell ref="AS28:AT28"/>
    <mergeCell ref="A27:B27"/>
    <mergeCell ref="C27:E27"/>
    <mergeCell ref="G27:H27"/>
    <mergeCell ref="I27:J27"/>
    <mergeCell ref="N27:O27"/>
    <mergeCell ref="R27:S27"/>
    <mergeCell ref="X27:Y27"/>
    <mergeCell ref="AG27:AH27"/>
    <mergeCell ref="AM27:AN27"/>
    <mergeCell ref="AS25:AT25"/>
    <mergeCell ref="A26:B26"/>
    <mergeCell ref="C26:E26"/>
    <mergeCell ref="G26:H26"/>
    <mergeCell ref="I26:J26"/>
    <mergeCell ref="N26:O26"/>
    <mergeCell ref="R26:S26"/>
    <mergeCell ref="X26:Y26"/>
    <mergeCell ref="AG26:AH26"/>
    <mergeCell ref="AM26:AN26"/>
    <mergeCell ref="AS26:AT26"/>
    <mergeCell ref="A25:B25"/>
    <mergeCell ref="C25:E25"/>
    <mergeCell ref="G25:H25"/>
    <mergeCell ref="I25:J25"/>
    <mergeCell ref="N25:O25"/>
    <mergeCell ref="R25:S25"/>
    <mergeCell ref="X25:Y25"/>
    <mergeCell ref="AG25:AH25"/>
    <mergeCell ref="AM25:AN25"/>
    <mergeCell ref="AS23:AT23"/>
    <mergeCell ref="A24:B24"/>
    <mergeCell ref="C24:E24"/>
    <mergeCell ref="G24:H24"/>
    <mergeCell ref="I24:J24"/>
    <mergeCell ref="N24:O24"/>
    <mergeCell ref="R24:S24"/>
    <mergeCell ref="X24:Y24"/>
    <mergeCell ref="AG24:AH24"/>
    <mergeCell ref="AM24:AN24"/>
    <mergeCell ref="AS24:AT24"/>
    <mergeCell ref="A23:B23"/>
    <mergeCell ref="C23:E23"/>
    <mergeCell ref="G23:H23"/>
    <mergeCell ref="I23:J23"/>
    <mergeCell ref="N23:O23"/>
    <mergeCell ref="R23:S23"/>
    <mergeCell ref="X23:Y23"/>
    <mergeCell ref="AG23:AH23"/>
    <mergeCell ref="AM23:AN23"/>
    <mergeCell ref="AS21:AT21"/>
    <mergeCell ref="A22:B22"/>
    <mergeCell ref="C22:E22"/>
    <mergeCell ref="G22:H22"/>
    <mergeCell ref="I22:J22"/>
    <mergeCell ref="N22:O22"/>
    <mergeCell ref="R22:S22"/>
    <mergeCell ref="X22:Y22"/>
    <mergeCell ref="AG22:AH22"/>
    <mergeCell ref="AM22:AN22"/>
    <mergeCell ref="AS22:AT22"/>
    <mergeCell ref="A21:B21"/>
    <mergeCell ref="C21:E21"/>
    <mergeCell ref="G21:H21"/>
    <mergeCell ref="I21:J21"/>
    <mergeCell ref="N21:O21"/>
    <mergeCell ref="R21:S21"/>
    <mergeCell ref="X21:Y21"/>
    <mergeCell ref="AG21:AH21"/>
    <mergeCell ref="AM21:AN21"/>
    <mergeCell ref="AS19:AT19"/>
    <mergeCell ref="A20:B20"/>
    <mergeCell ref="C20:E20"/>
    <mergeCell ref="G20:H20"/>
    <mergeCell ref="I20:J20"/>
    <mergeCell ref="N20:O20"/>
    <mergeCell ref="R20:S20"/>
    <mergeCell ref="X20:Y20"/>
    <mergeCell ref="AG20:AH20"/>
    <mergeCell ref="AM20:AN20"/>
    <mergeCell ref="AS20:AT20"/>
    <mergeCell ref="A19:B19"/>
    <mergeCell ref="C19:E19"/>
    <mergeCell ref="G19:H19"/>
    <mergeCell ref="I19:J19"/>
    <mergeCell ref="N19:O19"/>
    <mergeCell ref="R19:S19"/>
    <mergeCell ref="X19:Y19"/>
    <mergeCell ref="AG19:AH19"/>
    <mergeCell ref="AM19:AN19"/>
    <mergeCell ref="AS17:AT17"/>
    <mergeCell ref="A18:B18"/>
    <mergeCell ref="C18:E18"/>
    <mergeCell ref="G18:H18"/>
    <mergeCell ref="I18:J18"/>
    <mergeCell ref="N18:O18"/>
    <mergeCell ref="R18:S18"/>
    <mergeCell ref="X18:Y18"/>
    <mergeCell ref="AG18:AH18"/>
    <mergeCell ref="AM18:AN18"/>
    <mergeCell ref="AS18:AT18"/>
    <mergeCell ref="A17:B17"/>
    <mergeCell ref="C17:E17"/>
    <mergeCell ref="G17:H17"/>
    <mergeCell ref="I17:J17"/>
    <mergeCell ref="N17:O17"/>
    <mergeCell ref="R17:S17"/>
    <mergeCell ref="X17:Y17"/>
    <mergeCell ref="AG17:AH17"/>
    <mergeCell ref="AM17:AN17"/>
    <mergeCell ref="AS15:AT15"/>
    <mergeCell ref="A16:B16"/>
    <mergeCell ref="C16:E16"/>
    <mergeCell ref="G16:H16"/>
    <mergeCell ref="I16:J16"/>
    <mergeCell ref="N16:O16"/>
    <mergeCell ref="R16:S16"/>
    <mergeCell ref="X16:Y16"/>
    <mergeCell ref="AG16:AH16"/>
    <mergeCell ref="AM16:AN16"/>
    <mergeCell ref="AS16:AT16"/>
    <mergeCell ref="A15:B15"/>
    <mergeCell ref="C15:E15"/>
    <mergeCell ref="G15:H15"/>
    <mergeCell ref="I15:J15"/>
    <mergeCell ref="N15:O15"/>
    <mergeCell ref="R15:S15"/>
    <mergeCell ref="X15:Y15"/>
    <mergeCell ref="AG15:AH15"/>
    <mergeCell ref="AM15:AN15"/>
    <mergeCell ref="AS13:AT13"/>
    <mergeCell ref="A14:B14"/>
    <mergeCell ref="C14:E14"/>
    <mergeCell ref="G14:H14"/>
    <mergeCell ref="I14:J14"/>
    <mergeCell ref="N14:O14"/>
    <mergeCell ref="R14:S14"/>
    <mergeCell ref="X14:Y14"/>
    <mergeCell ref="AG14:AH14"/>
    <mergeCell ref="AM14:AN14"/>
    <mergeCell ref="AS14:AT14"/>
    <mergeCell ref="A13:B13"/>
    <mergeCell ref="C13:E13"/>
    <mergeCell ref="G13:H13"/>
    <mergeCell ref="I13:J13"/>
    <mergeCell ref="N13:O13"/>
    <mergeCell ref="R13:S13"/>
    <mergeCell ref="X13:Y13"/>
    <mergeCell ref="AG13:AH13"/>
    <mergeCell ref="AM13:AN13"/>
    <mergeCell ref="A11:B11"/>
    <mergeCell ref="C11:E11"/>
    <mergeCell ref="G11:H11"/>
    <mergeCell ref="I11:J11"/>
    <mergeCell ref="K11:AT11"/>
    <mergeCell ref="A12:B12"/>
    <mergeCell ref="C12:E12"/>
    <mergeCell ref="G12:H12"/>
    <mergeCell ref="I12:J12"/>
    <mergeCell ref="N12:O12"/>
    <mergeCell ref="R12:S12"/>
    <mergeCell ref="X12:Y12"/>
    <mergeCell ref="AG12:AH12"/>
    <mergeCell ref="AM12:AN12"/>
    <mergeCell ref="AS12:AT12"/>
    <mergeCell ref="A8:B8"/>
    <mergeCell ref="R8:X8"/>
    <mergeCell ref="E8:Q8"/>
    <mergeCell ref="Y8:AT8"/>
    <mergeCell ref="A9:B9"/>
    <mergeCell ref="R9:X9"/>
    <mergeCell ref="E9:Q9"/>
    <mergeCell ref="Y9:AT9"/>
    <mergeCell ref="A10:B10"/>
    <mergeCell ref="R10:X10"/>
    <mergeCell ref="E10:Q10"/>
    <mergeCell ref="Y10:AT10"/>
    <mergeCell ref="B6:G6"/>
    <mergeCell ref="H6:I6"/>
    <mergeCell ref="J6:N6"/>
    <mergeCell ref="O6:U6"/>
    <mergeCell ref="V6:AA6"/>
    <mergeCell ref="AB6:AG6"/>
    <mergeCell ref="AH6:AM6"/>
    <mergeCell ref="AN6:AS6"/>
    <mergeCell ref="A7:AU7"/>
    <mergeCell ref="A1:A4"/>
    <mergeCell ref="B1:G1"/>
    <mergeCell ref="H1:I4"/>
    <mergeCell ref="J1:AS4"/>
    <mergeCell ref="B5:G5"/>
    <mergeCell ref="H5:I5"/>
    <mergeCell ref="J5:N5"/>
    <mergeCell ref="O5:U5"/>
    <mergeCell ref="V5:AA5"/>
    <mergeCell ref="AB5:AG5"/>
    <mergeCell ref="AH5:AM5"/>
    <mergeCell ref="AN5:AS5"/>
  </mergeCell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59"/>
  <sheetViews>
    <sheetView showGridLines="0" workbookViewId="0">
      <selection sqref="A1:A4"/>
    </sheetView>
  </sheetViews>
  <sheetFormatPr baseColWidth="10" defaultColWidth="8.83203125" defaultRowHeight="15" customHeight="1"/>
  <cols>
    <col min="1" max="2" width="3" style="5" customWidth="1"/>
    <col min="3" max="3" width="14.5" style="5" customWidth="1"/>
    <col min="4" max="4" width="16.83203125" style="5" customWidth="1"/>
    <col min="5" max="5" width="1.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3.5" style="5" customWidth="1"/>
    <col min="12" max="12" width="3" style="5" customWidth="1"/>
    <col min="13" max="13" width="3.6640625" style="5" customWidth="1"/>
    <col min="14" max="14" width="1.5" style="5" customWidth="1"/>
    <col min="15" max="15" width="2.33203125" style="5" customWidth="1"/>
    <col min="16" max="16" width="4.1640625" style="5" customWidth="1"/>
    <col min="17" max="17" width="4.6640625" style="5" customWidth="1"/>
    <col min="18" max="18" width="1.33203125" style="5" customWidth="1"/>
    <col min="19" max="19" width="3.33203125" style="5" customWidth="1"/>
    <col min="20" max="20" width="4.1640625" style="5" customWidth="1"/>
    <col min="21" max="21" width="4.6640625" style="5" customWidth="1"/>
    <col min="22" max="22" width="4.5" style="5" customWidth="1"/>
    <col min="23" max="23" width="7.1640625" style="5" customWidth="1"/>
    <col min="24" max="24" width="1.5" style="5" customWidth="1"/>
    <col min="25" max="25" width="5.83203125" style="5" customWidth="1"/>
    <col min="26" max="27" width="7.1640625" style="5" customWidth="1"/>
    <col min="28" max="28" width="7.6640625" style="5" customWidth="1"/>
    <col min="29" max="29" width="5.33203125" style="5" customWidth="1"/>
    <col min="30" max="30" width="2.33203125" style="5" customWidth="1"/>
    <col min="31" max="31" width="3" style="5" customWidth="1"/>
    <col min="32" max="33" width="2.33203125" style="5" customWidth="1"/>
    <col min="34" max="34" width="1.33203125" style="5" customWidth="1"/>
    <col min="35" max="35" width="1.5" style="5" customWidth="1"/>
    <col min="36" max="36" width="3" style="5" customWidth="1"/>
    <col min="37" max="39" width="2.33203125" style="5" customWidth="1"/>
    <col min="40" max="41" width="1.5" style="5" customWidth="1"/>
    <col min="42" max="43" width="2.33203125" style="5" customWidth="1"/>
    <col min="44" max="44" width="3" style="5" customWidth="1"/>
    <col min="45" max="45" width="2.33203125" style="5" customWidth="1"/>
    <col min="46" max="46" width="1.5" style="5" customWidth="1"/>
    <col min="47" max="48" width="1.33203125" style="5" customWidth="1"/>
    <col min="49" max="49" width="8.83203125" style="5" customWidth="1"/>
    <col min="50" max="16384" width="8.83203125" style="5"/>
  </cols>
  <sheetData>
    <row r="1" spans="1:48" ht="13.5" customHeight="1">
      <c r="A1" s="42"/>
      <c r="B1" s="45"/>
      <c r="C1" s="46"/>
      <c r="D1" s="46"/>
      <c r="E1" s="46"/>
      <c r="F1" s="46"/>
      <c r="G1" s="47"/>
      <c r="H1" s="45"/>
      <c r="I1" s="47"/>
      <c r="J1" s="52" t="s">
        <v>6</v>
      </c>
      <c r="K1" s="53"/>
      <c r="L1" s="53"/>
      <c r="M1" s="53"/>
      <c r="N1" s="53"/>
      <c r="O1" s="53"/>
      <c r="P1" s="53"/>
      <c r="Q1" s="53"/>
      <c r="R1" s="53"/>
      <c r="S1" s="53"/>
      <c r="T1" s="53"/>
      <c r="U1" s="53"/>
      <c r="V1" s="53"/>
      <c r="W1" s="53"/>
      <c r="X1" s="53"/>
      <c r="Y1" s="53"/>
      <c r="Z1" s="53"/>
      <c r="AA1" s="54"/>
      <c r="AB1" s="53"/>
      <c r="AC1" s="53"/>
      <c r="AD1" s="53"/>
      <c r="AE1" s="53"/>
      <c r="AF1" s="53"/>
      <c r="AG1" s="53"/>
      <c r="AH1" s="53"/>
      <c r="AI1" s="53"/>
      <c r="AJ1" s="53"/>
      <c r="AK1" s="53"/>
      <c r="AL1" s="53"/>
      <c r="AM1" s="53"/>
      <c r="AN1" s="53"/>
      <c r="AO1" s="53"/>
      <c r="AP1" s="53"/>
      <c r="AQ1" s="53"/>
      <c r="AR1" s="53"/>
      <c r="AS1" s="53"/>
      <c r="AT1" s="55"/>
      <c r="AU1" s="6"/>
      <c r="AV1" s="7"/>
    </row>
    <row r="2" spans="1:48" ht="15" customHeight="1">
      <c r="A2" s="43"/>
      <c r="B2" s="8"/>
      <c r="C2" s="9"/>
      <c r="D2" s="9"/>
      <c r="E2" s="9"/>
      <c r="F2" s="9"/>
      <c r="G2" s="10"/>
      <c r="H2" s="48"/>
      <c r="I2" s="49"/>
      <c r="J2" s="56"/>
      <c r="K2" s="57"/>
      <c r="L2" s="57"/>
      <c r="M2" s="57"/>
      <c r="N2" s="57"/>
      <c r="O2" s="57"/>
      <c r="P2" s="57"/>
      <c r="Q2" s="57"/>
      <c r="R2" s="57"/>
      <c r="S2" s="57"/>
      <c r="T2" s="57"/>
      <c r="U2" s="57"/>
      <c r="V2" s="57"/>
      <c r="W2" s="57"/>
      <c r="X2" s="57"/>
      <c r="Y2" s="57"/>
      <c r="Z2" s="57"/>
      <c r="AA2" s="58"/>
      <c r="AB2" s="57"/>
      <c r="AC2" s="57"/>
      <c r="AD2" s="57"/>
      <c r="AE2" s="57"/>
      <c r="AF2" s="57"/>
      <c r="AG2" s="57"/>
      <c r="AH2" s="57"/>
      <c r="AI2" s="57"/>
      <c r="AJ2" s="57"/>
      <c r="AK2" s="57"/>
      <c r="AL2" s="57"/>
      <c r="AM2" s="57"/>
      <c r="AN2" s="57"/>
      <c r="AO2" s="57"/>
      <c r="AP2" s="57"/>
      <c r="AQ2" s="57"/>
      <c r="AR2" s="57"/>
      <c r="AS2" s="57"/>
      <c r="AT2" s="59"/>
      <c r="AU2" s="11"/>
      <c r="AV2" s="12"/>
    </row>
    <row r="3" spans="1:48" ht="15" customHeight="1">
      <c r="A3" s="43"/>
      <c r="B3" s="8"/>
      <c r="C3" s="9"/>
      <c r="D3" s="9"/>
      <c r="E3" s="9"/>
      <c r="F3" s="9"/>
      <c r="G3" s="10"/>
      <c r="H3" s="48"/>
      <c r="I3" s="49"/>
      <c r="J3" s="56"/>
      <c r="K3" s="57"/>
      <c r="L3" s="57"/>
      <c r="M3" s="57"/>
      <c r="N3" s="57"/>
      <c r="O3" s="57"/>
      <c r="P3" s="57"/>
      <c r="Q3" s="57"/>
      <c r="R3" s="57"/>
      <c r="S3" s="57"/>
      <c r="T3" s="57"/>
      <c r="U3" s="57"/>
      <c r="V3" s="57"/>
      <c r="W3" s="57"/>
      <c r="X3" s="57"/>
      <c r="Y3" s="57"/>
      <c r="Z3" s="57"/>
      <c r="AA3" s="58"/>
      <c r="AB3" s="57"/>
      <c r="AC3" s="57"/>
      <c r="AD3" s="57"/>
      <c r="AE3" s="57"/>
      <c r="AF3" s="57"/>
      <c r="AG3" s="57"/>
      <c r="AH3" s="57"/>
      <c r="AI3" s="57"/>
      <c r="AJ3" s="57"/>
      <c r="AK3" s="57"/>
      <c r="AL3" s="57"/>
      <c r="AM3" s="57"/>
      <c r="AN3" s="57"/>
      <c r="AO3" s="57"/>
      <c r="AP3" s="57"/>
      <c r="AQ3" s="57"/>
      <c r="AR3" s="57"/>
      <c r="AS3" s="57"/>
      <c r="AT3" s="59"/>
      <c r="AU3" s="11"/>
      <c r="AV3" s="12"/>
    </row>
    <row r="4" spans="1:48" ht="15" customHeight="1">
      <c r="A4" s="44"/>
      <c r="B4" s="13"/>
      <c r="C4" s="14"/>
      <c r="D4" s="14"/>
      <c r="E4" s="14"/>
      <c r="F4" s="14"/>
      <c r="G4" s="15"/>
      <c r="H4" s="50"/>
      <c r="I4" s="51"/>
      <c r="J4" s="60"/>
      <c r="K4" s="61"/>
      <c r="L4" s="61"/>
      <c r="M4" s="61"/>
      <c r="N4" s="61"/>
      <c r="O4" s="61"/>
      <c r="P4" s="61"/>
      <c r="Q4" s="61"/>
      <c r="R4" s="61"/>
      <c r="S4" s="61"/>
      <c r="T4" s="61"/>
      <c r="U4" s="61"/>
      <c r="V4" s="61"/>
      <c r="W4" s="61"/>
      <c r="X4" s="61"/>
      <c r="Y4" s="61"/>
      <c r="Z4" s="61"/>
      <c r="AA4" s="62"/>
      <c r="AB4" s="61"/>
      <c r="AC4" s="61"/>
      <c r="AD4" s="61"/>
      <c r="AE4" s="61"/>
      <c r="AF4" s="61"/>
      <c r="AG4" s="61"/>
      <c r="AH4" s="61"/>
      <c r="AI4" s="61"/>
      <c r="AJ4" s="61"/>
      <c r="AK4" s="61"/>
      <c r="AL4" s="61"/>
      <c r="AM4" s="61"/>
      <c r="AN4" s="61"/>
      <c r="AO4" s="61"/>
      <c r="AP4" s="61"/>
      <c r="AQ4" s="61"/>
      <c r="AR4" s="61"/>
      <c r="AS4" s="61"/>
      <c r="AT4" s="63"/>
      <c r="AU4" s="11"/>
      <c r="AV4" s="12"/>
    </row>
    <row r="5" spans="1:48" ht="13.75" customHeight="1">
      <c r="A5" s="16"/>
      <c r="B5" s="64" t="s">
        <v>7</v>
      </c>
      <c r="C5" s="65"/>
      <c r="D5" s="65"/>
      <c r="E5" s="65"/>
      <c r="F5" s="65"/>
      <c r="G5" s="66"/>
      <c r="H5" s="67" t="s">
        <v>8</v>
      </c>
      <c r="I5" s="66"/>
      <c r="J5" s="67" t="s">
        <v>9</v>
      </c>
      <c r="K5" s="65"/>
      <c r="L5" s="65"/>
      <c r="M5" s="65"/>
      <c r="N5" s="66"/>
      <c r="O5" s="67" t="s">
        <v>10</v>
      </c>
      <c r="P5" s="65"/>
      <c r="Q5" s="65"/>
      <c r="R5" s="65"/>
      <c r="S5" s="65"/>
      <c r="T5" s="65"/>
      <c r="U5" s="66"/>
      <c r="V5" s="67" t="s">
        <v>11</v>
      </c>
      <c r="W5" s="65"/>
      <c r="X5" s="65"/>
      <c r="Y5" s="65"/>
      <c r="Z5" s="65"/>
      <c r="AA5" s="68"/>
      <c r="AB5" s="66"/>
      <c r="AC5" s="67" t="s">
        <v>12</v>
      </c>
      <c r="AD5" s="65"/>
      <c r="AE5" s="65"/>
      <c r="AF5" s="65"/>
      <c r="AG5" s="65"/>
      <c r="AH5" s="66"/>
      <c r="AI5" s="67" t="s">
        <v>13</v>
      </c>
      <c r="AJ5" s="65"/>
      <c r="AK5" s="65"/>
      <c r="AL5" s="65"/>
      <c r="AM5" s="65"/>
      <c r="AN5" s="66"/>
      <c r="AO5" s="67" t="s">
        <v>14</v>
      </c>
      <c r="AP5" s="65"/>
      <c r="AQ5" s="65"/>
      <c r="AR5" s="65"/>
      <c r="AS5" s="65"/>
      <c r="AT5" s="69"/>
      <c r="AU5" s="17"/>
      <c r="AV5" s="12"/>
    </row>
    <row r="6" spans="1:48" ht="13.75" customHeight="1">
      <c r="A6" s="16"/>
      <c r="B6" s="70" t="s">
        <v>15</v>
      </c>
      <c r="C6" s="71"/>
      <c r="D6" s="71"/>
      <c r="E6" s="71"/>
      <c r="F6" s="71"/>
      <c r="G6" s="72"/>
      <c r="H6" s="73" t="s">
        <v>16</v>
      </c>
      <c r="I6" s="72"/>
      <c r="J6" s="73" t="s">
        <v>17</v>
      </c>
      <c r="K6" s="71"/>
      <c r="L6" s="71"/>
      <c r="M6" s="71"/>
      <c r="N6" s="72"/>
      <c r="O6" s="73" t="s">
        <v>18</v>
      </c>
      <c r="P6" s="71"/>
      <c r="Q6" s="71"/>
      <c r="R6" s="71"/>
      <c r="S6" s="71"/>
      <c r="T6" s="71"/>
      <c r="U6" s="72"/>
      <c r="V6" s="73" t="s">
        <v>19</v>
      </c>
      <c r="W6" s="71"/>
      <c r="X6" s="71"/>
      <c r="Y6" s="71"/>
      <c r="Z6" s="71"/>
      <c r="AA6" s="68"/>
      <c r="AB6" s="72"/>
      <c r="AC6" s="73" t="s">
        <v>20</v>
      </c>
      <c r="AD6" s="71"/>
      <c r="AE6" s="71"/>
      <c r="AF6" s="71"/>
      <c r="AG6" s="71"/>
      <c r="AH6" s="72"/>
      <c r="AI6" s="73" t="s">
        <v>21</v>
      </c>
      <c r="AJ6" s="71"/>
      <c r="AK6" s="71"/>
      <c r="AL6" s="71"/>
      <c r="AM6" s="71"/>
      <c r="AN6" s="72"/>
      <c r="AO6" s="73" t="s">
        <v>22</v>
      </c>
      <c r="AP6" s="71"/>
      <c r="AQ6" s="71"/>
      <c r="AR6" s="71"/>
      <c r="AS6" s="71"/>
      <c r="AT6" s="74"/>
      <c r="AU6" s="17"/>
      <c r="AV6" s="12"/>
    </row>
    <row r="7" spans="1:48" ht="15" customHeight="1">
      <c r="A7" s="120" t="s">
        <v>23</v>
      </c>
      <c r="B7" s="76"/>
      <c r="C7" s="77"/>
      <c r="D7" s="77"/>
      <c r="E7" s="77"/>
      <c r="F7" s="77"/>
      <c r="G7" s="77"/>
      <c r="H7" s="77"/>
      <c r="I7" s="77"/>
      <c r="J7" s="77"/>
      <c r="K7" s="77"/>
      <c r="L7" s="77"/>
      <c r="M7" s="77"/>
      <c r="N7" s="77"/>
      <c r="O7" s="77"/>
      <c r="P7" s="77"/>
      <c r="Q7" s="77"/>
      <c r="R7" s="77"/>
      <c r="S7" s="77"/>
      <c r="T7" s="77"/>
      <c r="U7" s="77"/>
      <c r="V7" s="77"/>
      <c r="W7" s="77"/>
      <c r="X7" s="77"/>
      <c r="Y7" s="77"/>
      <c r="Z7" s="77"/>
      <c r="AA7" s="68"/>
      <c r="AB7" s="77"/>
      <c r="AC7" s="77"/>
      <c r="AD7" s="77"/>
      <c r="AE7" s="77"/>
      <c r="AF7" s="77"/>
      <c r="AG7" s="77"/>
      <c r="AH7" s="77"/>
      <c r="AI7" s="77"/>
      <c r="AJ7" s="77"/>
      <c r="AK7" s="77"/>
      <c r="AL7" s="77"/>
      <c r="AM7" s="77"/>
      <c r="AN7" s="77"/>
      <c r="AO7" s="77"/>
      <c r="AP7" s="77"/>
      <c r="AQ7" s="77"/>
      <c r="AR7" s="77"/>
      <c r="AS7" s="77"/>
      <c r="AT7" s="77"/>
      <c r="AU7" s="78"/>
      <c r="AV7" s="79"/>
    </row>
    <row r="8" spans="1:48" ht="13.75" customHeight="1">
      <c r="A8" s="80"/>
      <c r="B8" s="81"/>
      <c r="C8" s="18" t="s">
        <v>24</v>
      </c>
      <c r="D8" s="19" t="s">
        <v>25</v>
      </c>
      <c r="E8" s="67" t="s">
        <v>26</v>
      </c>
      <c r="F8" s="65"/>
      <c r="G8" s="65"/>
      <c r="H8" s="65"/>
      <c r="I8" s="65"/>
      <c r="J8" s="65"/>
      <c r="K8" s="65"/>
      <c r="L8" s="65"/>
      <c r="M8" s="65"/>
      <c r="N8" s="65"/>
      <c r="O8" s="65"/>
      <c r="P8" s="65"/>
      <c r="Q8" s="65"/>
      <c r="R8" s="65"/>
      <c r="S8" s="65"/>
      <c r="T8" s="65"/>
      <c r="U8" s="65"/>
      <c r="V8" s="65"/>
      <c r="W8" s="65"/>
      <c r="X8" s="66"/>
      <c r="Y8" s="67" t="s">
        <v>27</v>
      </c>
      <c r="Z8" s="65"/>
      <c r="AA8" s="68"/>
      <c r="AB8" s="65"/>
      <c r="AC8" s="68"/>
      <c r="AD8" s="65"/>
      <c r="AE8" s="65"/>
      <c r="AF8" s="65"/>
      <c r="AG8" s="65"/>
      <c r="AH8" s="65"/>
      <c r="AI8" s="65"/>
      <c r="AJ8" s="65"/>
      <c r="AK8" s="65"/>
      <c r="AL8" s="65"/>
      <c r="AM8" s="65"/>
      <c r="AN8" s="65"/>
      <c r="AO8" s="65"/>
      <c r="AP8" s="65"/>
      <c r="AQ8" s="65"/>
      <c r="AR8" s="65"/>
      <c r="AS8" s="65"/>
      <c r="AT8" s="65"/>
      <c r="AU8" s="69"/>
      <c r="AV8" s="20"/>
    </row>
    <row r="9" spans="1:48" ht="13.75" customHeight="1">
      <c r="A9" s="80"/>
      <c r="B9" s="81"/>
      <c r="C9" s="21" t="s">
        <v>28</v>
      </c>
      <c r="D9" s="22" t="s">
        <v>29</v>
      </c>
      <c r="E9" s="73" t="s">
        <v>30</v>
      </c>
      <c r="F9" s="71"/>
      <c r="G9" s="71"/>
      <c r="H9" s="71"/>
      <c r="I9" s="71"/>
      <c r="J9" s="71"/>
      <c r="K9" s="71"/>
      <c r="L9" s="71"/>
      <c r="M9" s="71"/>
      <c r="N9" s="71"/>
      <c r="O9" s="71"/>
      <c r="P9" s="71"/>
      <c r="Q9" s="71"/>
      <c r="R9" s="71"/>
      <c r="S9" s="71"/>
      <c r="T9" s="71"/>
      <c r="U9" s="71"/>
      <c r="V9" s="71"/>
      <c r="W9" s="71"/>
      <c r="X9" s="72"/>
      <c r="Y9" s="73" t="s">
        <v>31</v>
      </c>
      <c r="Z9" s="71"/>
      <c r="AA9" s="68"/>
      <c r="AB9" s="71"/>
      <c r="AC9" s="68"/>
      <c r="AD9" s="71"/>
      <c r="AE9" s="71"/>
      <c r="AF9" s="71"/>
      <c r="AG9" s="71"/>
      <c r="AH9" s="71"/>
      <c r="AI9" s="71"/>
      <c r="AJ9" s="71"/>
      <c r="AK9" s="71"/>
      <c r="AL9" s="71"/>
      <c r="AM9" s="71"/>
      <c r="AN9" s="71"/>
      <c r="AO9" s="71"/>
      <c r="AP9" s="71"/>
      <c r="AQ9" s="71"/>
      <c r="AR9" s="71"/>
      <c r="AS9" s="71"/>
      <c r="AT9" s="71"/>
      <c r="AU9" s="74"/>
      <c r="AV9" s="20"/>
    </row>
    <row r="10" spans="1:48" ht="13.5" customHeight="1">
      <c r="A10" s="82"/>
      <c r="B10" s="83"/>
      <c r="C10" s="23"/>
      <c r="D10" s="23"/>
      <c r="E10" s="86"/>
      <c r="F10" s="84"/>
      <c r="G10" s="84"/>
      <c r="H10" s="84"/>
      <c r="I10" s="84"/>
      <c r="J10" s="84"/>
      <c r="K10" s="84"/>
      <c r="L10" s="84"/>
      <c r="M10" s="84"/>
      <c r="N10" s="84"/>
      <c r="O10" s="84"/>
      <c r="P10" s="84"/>
      <c r="Q10" s="84"/>
      <c r="R10" s="84"/>
      <c r="S10" s="84"/>
      <c r="T10" s="84"/>
      <c r="U10" s="84"/>
      <c r="V10" s="84"/>
      <c r="W10" s="84"/>
      <c r="X10" s="85"/>
      <c r="Y10" s="86"/>
      <c r="Z10" s="84"/>
      <c r="AA10" s="68"/>
      <c r="AB10" s="84"/>
      <c r="AC10" s="68"/>
      <c r="AD10" s="84"/>
      <c r="AE10" s="84"/>
      <c r="AF10" s="84"/>
      <c r="AG10" s="84"/>
      <c r="AH10" s="84"/>
      <c r="AI10" s="84"/>
      <c r="AJ10" s="84"/>
      <c r="AK10" s="84"/>
      <c r="AL10" s="84"/>
      <c r="AM10" s="84"/>
      <c r="AN10" s="84"/>
      <c r="AO10" s="84"/>
      <c r="AP10" s="84"/>
      <c r="AQ10" s="84"/>
      <c r="AR10" s="84"/>
      <c r="AS10" s="84"/>
      <c r="AT10" s="84"/>
      <c r="AU10" s="85"/>
      <c r="AV10" s="24"/>
    </row>
    <row r="11" spans="1:48" ht="13.75" customHeight="1">
      <c r="A11" s="87" t="s">
        <v>32</v>
      </c>
      <c r="B11" s="88"/>
      <c r="C11" s="87" t="s">
        <v>33</v>
      </c>
      <c r="D11" s="89"/>
      <c r="E11" s="88"/>
      <c r="F11" s="25" t="s">
        <v>34</v>
      </c>
      <c r="G11" s="87" t="s">
        <v>35</v>
      </c>
      <c r="H11" s="88"/>
      <c r="I11" s="87" t="s">
        <v>7</v>
      </c>
      <c r="J11" s="88"/>
      <c r="K11" s="64" t="s">
        <v>36</v>
      </c>
      <c r="L11" s="65"/>
      <c r="M11" s="65"/>
      <c r="N11" s="65"/>
      <c r="O11" s="65"/>
      <c r="P11" s="65"/>
      <c r="Q11" s="65"/>
      <c r="R11" s="65"/>
      <c r="S11" s="65"/>
      <c r="T11" s="65"/>
      <c r="U11" s="65"/>
      <c r="V11" s="65"/>
      <c r="W11" s="65"/>
      <c r="X11" s="65"/>
      <c r="Y11" s="65"/>
      <c r="Z11" s="65"/>
      <c r="AA11" s="68"/>
      <c r="AB11" s="65"/>
      <c r="AC11" s="68"/>
      <c r="AD11" s="65"/>
      <c r="AE11" s="65"/>
      <c r="AF11" s="65"/>
      <c r="AG11" s="65"/>
      <c r="AH11" s="65"/>
      <c r="AI11" s="65"/>
      <c r="AJ11" s="65"/>
      <c r="AK11" s="65"/>
      <c r="AL11" s="65"/>
      <c r="AM11" s="65"/>
      <c r="AN11" s="65"/>
      <c r="AO11" s="65"/>
      <c r="AP11" s="65"/>
      <c r="AQ11" s="65"/>
      <c r="AR11" s="65"/>
      <c r="AS11" s="65"/>
      <c r="AT11" s="65"/>
      <c r="AU11" s="69"/>
      <c r="AV11" s="20"/>
    </row>
    <row r="12" spans="1:48" ht="13.75" customHeight="1">
      <c r="A12" s="111"/>
      <c r="B12" s="102"/>
      <c r="C12" s="112"/>
      <c r="D12" s="68"/>
      <c r="E12" s="102"/>
      <c r="F12" s="29"/>
      <c r="G12" s="111"/>
      <c r="H12" s="102"/>
      <c r="I12" s="111"/>
      <c r="J12" s="102"/>
      <c r="K12" s="30">
        <v>1</v>
      </c>
      <c r="L12" s="30">
        <v>2</v>
      </c>
      <c r="M12" s="30">
        <v>3</v>
      </c>
      <c r="N12" s="97">
        <v>4</v>
      </c>
      <c r="O12" s="102"/>
      <c r="P12" s="30">
        <v>5</v>
      </c>
      <c r="Q12" s="30">
        <v>6</v>
      </c>
      <c r="R12" s="97">
        <v>7</v>
      </c>
      <c r="S12" s="102"/>
      <c r="T12" s="30">
        <v>8</v>
      </c>
      <c r="U12" s="30">
        <v>9</v>
      </c>
      <c r="V12" s="28"/>
      <c r="W12" s="27" t="s">
        <v>150</v>
      </c>
      <c r="X12" s="113" t="s">
        <v>150</v>
      </c>
      <c r="Y12" s="102"/>
      <c r="Z12" s="27" t="s">
        <v>151</v>
      </c>
      <c r="AA12" s="28"/>
      <c r="AB12" s="27" t="s">
        <v>152</v>
      </c>
      <c r="AC12" s="28"/>
      <c r="AD12" s="28"/>
      <c r="AE12" s="28"/>
      <c r="AF12" s="28"/>
      <c r="AG12" s="28"/>
      <c r="AH12" s="95"/>
      <c r="AI12" s="102"/>
      <c r="AJ12" s="28"/>
      <c r="AK12" s="28"/>
      <c r="AL12" s="28"/>
      <c r="AM12" s="28"/>
      <c r="AN12" s="95"/>
      <c r="AO12" s="102"/>
      <c r="AP12" s="28"/>
      <c r="AQ12" s="28"/>
      <c r="AR12" s="28"/>
      <c r="AS12" s="28"/>
      <c r="AT12" s="95"/>
      <c r="AU12" s="102"/>
      <c r="AV12" s="20"/>
    </row>
    <row r="13" spans="1:48" ht="13.75" customHeight="1">
      <c r="A13" s="90" t="s">
        <v>37</v>
      </c>
      <c r="B13" s="91"/>
      <c r="C13" s="92" t="s">
        <v>38</v>
      </c>
      <c r="D13" s="93"/>
      <c r="E13" s="94"/>
      <c r="F13" s="26" t="s">
        <v>39</v>
      </c>
      <c r="G13" s="90" t="s">
        <v>40</v>
      </c>
      <c r="H13" s="91"/>
      <c r="I13" s="90" t="s">
        <v>41</v>
      </c>
      <c r="J13" s="91"/>
      <c r="K13" s="27" t="s">
        <v>153</v>
      </c>
      <c r="L13" s="27" t="s">
        <v>153</v>
      </c>
      <c r="M13" s="27" t="s">
        <v>153</v>
      </c>
      <c r="N13" s="113" t="s">
        <v>153</v>
      </c>
      <c r="O13" s="96"/>
      <c r="P13" s="27" t="s">
        <v>153</v>
      </c>
      <c r="Q13" s="27" t="s">
        <v>153</v>
      </c>
      <c r="R13" s="113" t="s">
        <v>153</v>
      </c>
      <c r="S13" s="96"/>
      <c r="T13" s="27" t="s">
        <v>153</v>
      </c>
      <c r="U13" s="27" t="s">
        <v>153</v>
      </c>
      <c r="V13" s="28"/>
      <c r="W13" s="30">
        <v>33</v>
      </c>
      <c r="X13" s="97" cm="1">
        <f t="array" ref="X13">W13+30</f>
        <v>63</v>
      </c>
      <c r="Y13" s="96"/>
      <c r="Z13" s="27" t="s">
        <v>154</v>
      </c>
      <c r="AA13" s="30" cm="1">
        <f t="array" ref="AA13">(X13/100)*40</f>
        <v>25.2</v>
      </c>
      <c r="AB13" s="30">
        <v>26</v>
      </c>
      <c r="AC13" s="28"/>
      <c r="AD13" s="28"/>
      <c r="AE13" s="28"/>
      <c r="AF13" s="28"/>
      <c r="AG13" s="28"/>
      <c r="AH13" s="95"/>
      <c r="AI13" s="96"/>
      <c r="AJ13" s="28"/>
      <c r="AK13" s="28"/>
      <c r="AL13" s="28"/>
      <c r="AM13" s="28"/>
      <c r="AN13" s="95"/>
      <c r="AO13" s="96"/>
      <c r="AP13" s="28"/>
      <c r="AQ13" s="28"/>
      <c r="AR13" s="28"/>
      <c r="AS13" s="28"/>
      <c r="AT13" s="95"/>
      <c r="AU13" s="96"/>
      <c r="AV13" s="20"/>
    </row>
    <row r="14" spans="1:48" ht="13.75" customHeight="1">
      <c r="A14" s="90" t="s">
        <v>43</v>
      </c>
      <c r="B14" s="91"/>
      <c r="C14" s="92" t="s">
        <v>44</v>
      </c>
      <c r="D14" s="93"/>
      <c r="E14" s="94"/>
      <c r="F14" s="26" t="s">
        <v>45</v>
      </c>
      <c r="G14" s="90" t="s">
        <v>40</v>
      </c>
      <c r="H14" s="91"/>
      <c r="I14" s="90" t="s">
        <v>41</v>
      </c>
      <c r="J14" s="91"/>
      <c r="K14" s="27" t="s">
        <v>42</v>
      </c>
      <c r="L14" s="27" t="s">
        <v>42</v>
      </c>
      <c r="M14" s="27" t="s">
        <v>42</v>
      </c>
      <c r="N14" s="113" t="s">
        <v>42</v>
      </c>
      <c r="O14" s="96"/>
      <c r="P14" s="27" t="s">
        <v>42</v>
      </c>
      <c r="Q14" s="27" t="s">
        <v>42</v>
      </c>
      <c r="R14" s="113" t="s">
        <v>42</v>
      </c>
      <c r="S14" s="96"/>
      <c r="T14" s="27" t="s">
        <v>42</v>
      </c>
      <c r="U14" s="27" t="s">
        <v>42</v>
      </c>
      <c r="V14" s="27" t="s">
        <v>42</v>
      </c>
      <c r="W14" s="30">
        <v>40</v>
      </c>
      <c r="X14" s="97" cm="1">
        <f t="array" ref="X14">W14+30</f>
        <v>70</v>
      </c>
      <c r="Y14" s="96"/>
      <c r="Z14" s="27" t="s">
        <v>155</v>
      </c>
      <c r="AA14" s="30" cm="1">
        <f t="array" ref="AA14">(X14/100)*40</f>
        <v>28</v>
      </c>
      <c r="AB14" s="30">
        <v>98</v>
      </c>
      <c r="AC14" s="28"/>
      <c r="AD14" s="28"/>
      <c r="AE14" s="28"/>
      <c r="AF14" s="28"/>
      <c r="AG14" s="28"/>
      <c r="AH14" s="95"/>
      <c r="AI14" s="96"/>
      <c r="AJ14" s="28"/>
      <c r="AK14" s="28"/>
      <c r="AL14" s="28"/>
      <c r="AM14" s="28"/>
      <c r="AN14" s="95"/>
      <c r="AO14" s="96"/>
      <c r="AP14" s="28"/>
      <c r="AQ14" s="28"/>
      <c r="AR14" s="28"/>
      <c r="AS14" s="28"/>
      <c r="AT14" s="95"/>
      <c r="AU14" s="96"/>
      <c r="AV14" s="20"/>
    </row>
    <row r="15" spans="1:48" ht="13.75" customHeight="1">
      <c r="A15" s="90" t="s">
        <v>46</v>
      </c>
      <c r="B15" s="91"/>
      <c r="C15" s="92" t="s">
        <v>47</v>
      </c>
      <c r="D15" s="93"/>
      <c r="E15" s="94"/>
      <c r="F15" s="26" t="s">
        <v>48</v>
      </c>
      <c r="G15" s="90" t="s">
        <v>40</v>
      </c>
      <c r="H15" s="91"/>
      <c r="I15" s="90" t="s">
        <v>41</v>
      </c>
      <c r="J15" s="91"/>
      <c r="K15" s="27" t="s">
        <v>42</v>
      </c>
      <c r="L15" s="27" t="s">
        <v>42</v>
      </c>
      <c r="M15" s="27" t="s">
        <v>42</v>
      </c>
      <c r="N15" s="113" t="s">
        <v>42</v>
      </c>
      <c r="O15" s="96"/>
      <c r="P15" s="27" t="s">
        <v>42</v>
      </c>
      <c r="Q15" s="27" t="s">
        <v>42</v>
      </c>
      <c r="R15" s="113" t="s">
        <v>42</v>
      </c>
      <c r="S15" s="96"/>
      <c r="T15" s="27" t="s">
        <v>42</v>
      </c>
      <c r="U15" s="27" t="s">
        <v>42</v>
      </c>
      <c r="V15" s="28"/>
      <c r="W15" s="30">
        <v>62</v>
      </c>
      <c r="X15" s="97" cm="1">
        <f t="array" ref="X15">W15+30</f>
        <v>92</v>
      </c>
      <c r="Y15" s="96"/>
      <c r="Z15" s="27" t="s">
        <v>154</v>
      </c>
      <c r="AA15" s="30" cm="1">
        <f t="array" ref="AA15">(X15/100)*40</f>
        <v>36.800000000000004</v>
      </c>
      <c r="AB15" s="30">
        <v>97</v>
      </c>
      <c r="AC15" s="28"/>
      <c r="AD15" s="28"/>
      <c r="AE15" s="28"/>
      <c r="AF15" s="28"/>
      <c r="AG15" s="28"/>
      <c r="AH15" s="95"/>
      <c r="AI15" s="96"/>
      <c r="AJ15" s="28"/>
      <c r="AK15" s="28"/>
      <c r="AL15" s="28"/>
      <c r="AM15" s="28"/>
      <c r="AN15" s="95"/>
      <c r="AO15" s="96"/>
      <c r="AP15" s="28"/>
      <c r="AQ15" s="28"/>
      <c r="AR15" s="28"/>
      <c r="AS15" s="28"/>
      <c r="AT15" s="95"/>
      <c r="AU15" s="96"/>
      <c r="AV15" s="20"/>
    </row>
    <row r="16" spans="1:48" ht="13.75" customHeight="1">
      <c r="A16" s="90" t="s">
        <v>49</v>
      </c>
      <c r="B16" s="91"/>
      <c r="C16" s="92" t="s">
        <v>50</v>
      </c>
      <c r="D16" s="93"/>
      <c r="E16" s="94"/>
      <c r="F16" s="26" t="s">
        <v>51</v>
      </c>
      <c r="G16" s="98" t="s">
        <v>40</v>
      </c>
      <c r="H16" s="91"/>
      <c r="I16" s="90" t="s">
        <v>41</v>
      </c>
      <c r="J16" s="91"/>
      <c r="K16" s="27" t="s">
        <v>42</v>
      </c>
      <c r="L16" s="27" t="s">
        <v>42</v>
      </c>
      <c r="M16" s="27" t="s">
        <v>42</v>
      </c>
      <c r="N16" s="113" t="s">
        <v>42</v>
      </c>
      <c r="O16" s="96"/>
      <c r="P16" s="27" t="s">
        <v>42</v>
      </c>
      <c r="Q16" s="27" t="s">
        <v>42</v>
      </c>
      <c r="R16" s="113" t="s">
        <v>42</v>
      </c>
      <c r="S16" s="96"/>
      <c r="T16" s="27" t="s">
        <v>42</v>
      </c>
      <c r="U16" s="27" t="s">
        <v>42</v>
      </c>
      <c r="V16" s="28"/>
      <c r="W16" s="30">
        <v>8</v>
      </c>
      <c r="X16" s="97" cm="1">
        <f t="array" ref="X16">W16+30</f>
        <v>38</v>
      </c>
      <c r="Y16" s="96"/>
      <c r="Z16" s="27" t="s">
        <v>154</v>
      </c>
      <c r="AA16" s="30" cm="1">
        <f t="array" ref="AA16">(X16/100)*40</f>
        <v>15.2</v>
      </c>
      <c r="AB16" s="30">
        <v>60</v>
      </c>
      <c r="AC16" s="27" t="s">
        <v>156</v>
      </c>
      <c r="AD16" s="28"/>
      <c r="AE16" s="28"/>
      <c r="AF16" s="28"/>
      <c r="AG16" s="28"/>
      <c r="AH16" s="95"/>
      <c r="AI16" s="96"/>
      <c r="AJ16" s="28"/>
      <c r="AK16" s="28"/>
      <c r="AL16" s="28"/>
      <c r="AM16" s="28"/>
      <c r="AN16" s="95"/>
      <c r="AO16" s="96"/>
      <c r="AP16" s="28"/>
      <c r="AQ16" s="28"/>
      <c r="AR16" s="28"/>
      <c r="AS16" s="28"/>
      <c r="AT16" s="95"/>
      <c r="AU16" s="96"/>
      <c r="AV16" s="20"/>
    </row>
    <row r="17" spans="1:48" ht="13.75" customHeight="1">
      <c r="A17" s="90" t="s">
        <v>52</v>
      </c>
      <c r="B17" s="91"/>
      <c r="C17" s="92" t="s">
        <v>53</v>
      </c>
      <c r="D17" s="93"/>
      <c r="E17" s="94"/>
      <c r="F17" s="26" t="s">
        <v>54</v>
      </c>
      <c r="G17" s="90" t="s">
        <v>40</v>
      </c>
      <c r="H17" s="91"/>
      <c r="I17" s="90" t="s">
        <v>41</v>
      </c>
      <c r="J17" s="91"/>
      <c r="K17" s="27" t="s">
        <v>42</v>
      </c>
      <c r="L17" s="27" t="s">
        <v>42</v>
      </c>
      <c r="M17" s="27" t="s">
        <v>42</v>
      </c>
      <c r="N17" s="113" t="s">
        <v>42</v>
      </c>
      <c r="O17" s="96"/>
      <c r="P17" s="27" t="s">
        <v>42</v>
      </c>
      <c r="Q17" s="27" t="s">
        <v>42</v>
      </c>
      <c r="R17" s="113" t="s">
        <v>42</v>
      </c>
      <c r="S17" s="96"/>
      <c r="T17" s="27" t="s">
        <v>42</v>
      </c>
      <c r="U17" s="27" t="s">
        <v>42</v>
      </c>
      <c r="V17" s="28"/>
      <c r="W17" s="30">
        <v>35</v>
      </c>
      <c r="X17" s="97" cm="1">
        <f t="array" ref="X17">W17+30</f>
        <v>65</v>
      </c>
      <c r="Y17" s="96"/>
      <c r="Z17" s="27" t="s">
        <v>155</v>
      </c>
      <c r="AA17" s="30" cm="1">
        <f t="array" ref="AA17">(X17/100)*40</f>
        <v>26</v>
      </c>
      <c r="AB17" s="30">
        <v>86</v>
      </c>
      <c r="AC17" s="28"/>
      <c r="AD17" s="28"/>
      <c r="AE17" s="28"/>
      <c r="AF17" s="28"/>
      <c r="AG17" s="28"/>
      <c r="AH17" s="95"/>
      <c r="AI17" s="96"/>
      <c r="AJ17" s="28"/>
      <c r="AK17" s="28"/>
      <c r="AL17" s="28"/>
      <c r="AM17" s="28"/>
      <c r="AN17" s="95"/>
      <c r="AO17" s="96"/>
      <c r="AP17" s="28"/>
      <c r="AQ17" s="28"/>
      <c r="AR17" s="28"/>
      <c r="AS17" s="28"/>
      <c r="AT17" s="95"/>
      <c r="AU17" s="96"/>
      <c r="AV17" s="20"/>
    </row>
    <row r="18" spans="1:48" ht="13.75" customHeight="1">
      <c r="A18" s="90" t="s">
        <v>55</v>
      </c>
      <c r="B18" s="91"/>
      <c r="C18" s="92" t="s">
        <v>56</v>
      </c>
      <c r="D18" s="93"/>
      <c r="E18" s="94"/>
      <c r="F18" s="26" t="s">
        <v>57</v>
      </c>
      <c r="G18" s="90" t="s">
        <v>40</v>
      </c>
      <c r="H18" s="91"/>
      <c r="I18" s="90" t="s">
        <v>41</v>
      </c>
      <c r="J18" s="91"/>
      <c r="K18" s="27" t="s">
        <v>42</v>
      </c>
      <c r="L18" s="27" t="s">
        <v>42</v>
      </c>
      <c r="M18" s="27" t="s">
        <v>42</v>
      </c>
      <c r="N18" s="113" t="s">
        <v>42</v>
      </c>
      <c r="O18" s="96"/>
      <c r="P18" s="27" t="s">
        <v>42</v>
      </c>
      <c r="Q18" s="27" t="s">
        <v>42</v>
      </c>
      <c r="R18" s="113" t="s">
        <v>42</v>
      </c>
      <c r="S18" s="96"/>
      <c r="T18" s="27" t="s">
        <v>42</v>
      </c>
      <c r="U18" s="27" t="s">
        <v>42</v>
      </c>
      <c r="V18" s="28"/>
      <c r="W18" s="30">
        <v>36</v>
      </c>
      <c r="X18" s="97" cm="1">
        <f t="array" ref="X18">W18+30</f>
        <v>66</v>
      </c>
      <c r="Y18" s="96"/>
      <c r="Z18" s="27" t="s">
        <v>154</v>
      </c>
      <c r="AA18" s="30" cm="1">
        <f t="array" ref="AA18">(X18/100)*40</f>
        <v>26.400000000000002</v>
      </c>
      <c r="AB18" s="30">
        <v>87</v>
      </c>
      <c r="AC18" s="28"/>
      <c r="AD18" s="28"/>
      <c r="AE18" s="28"/>
      <c r="AF18" s="28"/>
      <c r="AG18" s="28"/>
      <c r="AH18" s="95"/>
      <c r="AI18" s="96"/>
      <c r="AJ18" s="28"/>
      <c r="AK18" s="28"/>
      <c r="AL18" s="28"/>
      <c r="AM18" s="28"/>
      <c r="AN18" s="95"/>
      <c r="AO18" s="96"/>
      <c r="AP18" s="28"/>
      <c r="AQ18" s="28"/>
      <c r="AR18" s="28"/>
      <c r="AS18" s="28"/>
      <c r="AT18" s="95"/>
      <c r="AU18" s="96"/>
      <c r="AV18" s="20"/>
    </row>
    <row r="19" spans="1:48" ht="13.75" customHeight="1">
      <c r="A19" s="90" t="s">
        <v>58</v>
      </c>
      <c r="B19" s="91"/>
      <c r="C19" s="92" t="s">
        <v>59</v>
      </c>
      <c r="D19" s="93"/>
      <c r="E19" s="94"/>
      <c r="F19" s="26" t="s">
        <v>60</v>
      </c>
      <c r="G19" s="90" t="s">
        <v>40</v>
      </c>
      <c r="H19" s="91"/>
      <c r="I19" s="90" t="s">
        <v>41</v>
      </c>
      <c r="J19" s="91"/>
      <c r="K19" s="27" t="s">
        <v>42</v>
      </c>
      <c r="L19" s="27" t="s">
        <v>42</v>
      </c>
      <c r="M19" s="27" t="s">
        <v>42</v>
      </c>
      <c r="N19" s="113" t="s">
        <v>42</v>
      </c>
      <c r="O19" s="96"/>
      <c r="P19" s="27" t="s">
        <v>157</v>
      </c>
      <c r="Q19" s="27" t="s">
        <v>42</v>
      </c>
      <c r="R19" s="113" t="s">
        <v>42</v>
      </c>
      <c r="S19" s="96"/>
      <c r="T19" s="27" t="s">
        <v>42</v>
      </c>
      <c r="U19" s="27" t="s">
        <v>42</v>
      </c>
      <c r="V19" s="27" t="s">
        <v>42</v>
      </c>
      <c r="W19" s="30">
        <v>11</v>
      </c>
      <c r="X19" s="97" cm="1">
        <f t="array" ref="X19">W19+30</f>
        <v>41</v>
      </c>
      <c r="Y19" s="96"/>
      <c r="Z19" s="27" t="s">
        <v>154</v>
      </c>
      <c r="AA19" s="30" cm="1">
        <f t="array" ref="AA19">(X19/100)*40</f>
        <v>16.399999999999999</v>
      </c>
      <c r="AB19" s="30">
        <v>87</v>
      </c>
      <c r="AC19" s="28"/>
      <c r="AD19" s="28"/>
      <c r="AE19" s="28"/>
      <c r="AF19" s="28"/>
      <c r="AG19" s="28"/>
      <c r="AH19" s="95"/>
      <c r="AI19" s="96"/>
      <c r="AJ19" s="28"/>
      <c r="AK19" s="28"/>
      <c r="AL19" s="28"/>
      <c r="AM19" s="28"/>
      <c r="AN19" s="95"/>
      <c r="AO19" s="96"/>
      <c r="AP19" s="28"/>
      <c r="AQ19" s="28"/>
      <c r="AR19" s="28"/>
      <c r="AS19" s="28"/>
      <c r="AT19" s="95"/>
      <c r="AU19" s="96"/>
      <c r="AV19" s="20"/>
    </row>
    <row r="20" spans="1:48" ht="13.75" customHeight="1">
      <c r="A20" s="90" t="s">
        <v>61</v>
      </c>
      <c r="B20" s="91"/>
      <c r="C20" s="92" t="s">
        <v>62</v>
      </c>
      <c r="D20" s="93"/>
      <c r="E20" s="94"/>
      <c r="F20" s="26" t="s">
        <v>63</v>
      </c>
      <c r="G20" s="90" t="s">
        <v>40</v>
      </c>
      <c r="H20" s="91"/>
      <c r="I20" s="90" t="s">
        <v>41</v>
      </c>
      <c r="J20" s="91"/>
      <c r="K20" s="27" t="s">
        <v>42</v>
      </c>
      <c r="L20" s="27" t="s">
        <v>157</v>
      </c>
      <c r="M20" s="27" t="s">
        <v>157</v>
      </c>
      <c r="N20" s="113" t="s">
        <v>42</v>
      </c>
      <c r="O20" s="96"/>
      <c r="P20" s="27" t="s">
        <v>42</v>
      </c>
      <c r="Q20" s="27" t="s">
        <v>42</v>
      </c>
      <c r="R20" s="113" t="s">
        <v>157</v>
      </c>
      <c r="S20" s="96"/>
      <c r="T20" s="27" t="s">
        <v>42</v>
      </c>
      <c r="U20" s="27" t="s">
        <v>42</v>
      </c>
      <c r="V20" s="27" t="s">
        <v>42</v>
      </c>
      <c r="W20" s="30">
        <v>17</v>
      </c>
      <c r="X20" s="97" cm="1">
        <f t="array" ref="X20">W20+30</f>
        <v>47</v>
      </c>
      <c r="Y20" s="96"/>
      <c r="Z20" s="27" t="s">
        <v>154</v>
      </c>
      <c r="AA20" s="30" cm="1">
        <f t="array" ref="AA20">(X20/100)*40</f>
        <v>18.799999999999997</v>
      </c>
      <c r="AB20" s="30">
        <v>88</v>
      </c>
      <c r="AC20" s="28"/>
      <c r="AD20" s="28"/>
      <c r="AE20" s="28"/>
      <c r="AF20" s="28"/>
      <c r="AG20" s="28"/>
      <c r="AH20" s="95"/>
      <c r="AI20" s="96"/>
      <c r="AJ20" s="28"/>
      <c r="AK20" s="28"/>
      <c r="AL20" s="28"/>
      <c r="AM20" s="28"/>
      <c r="AN20" s="95"/>
      <c r="AO20" s="96"/>
      <c r="AP20" s="28"/>
      <c r="AQ20" s="28"/>
      <c r="AR20" s="28"/>
      <c r="AS20" s="28"/>
      <c r="AT20" s="95"/>
      <c r="AU20" s="96"/>
      <c r="AV20" s="20"/>
    </row>
    <row r="21" spans="1:48" ht="13.75" customHeight="1">
      <c r="A21" s="90" t="s">
        <v>64</v>
      </c>
      <c r="B21" s="91"/>
      <c r="C21" s="92" t="s">
        <v>65</v>
      </c>
      <c r="D21" s="93"/>
      <c r="E21" s="94"/>
      <c r="F21" s="26" t="s">
        <v>66</v>
      </c>
      <c r="G21" s="90" t="s">
        <v>40</v>
      </c>
      <c r="H21" s="91"/>
      <c r="I21" s="90" t="s">
        <v>41</v>
      </c>
      <c r="J21" s="91"/>
      <c r="K21" s="27" t="s">
        <v>153</v>
      </c>
      <c r="L21" s="27" t="s">
        <v>153</v>
      </c>
      <c r="M21" s="27" t="s">
        <v>153</v>
      </c>
      <c r="N21" s="113" t="s">
        <v>42</v>
      </c>
      <c r="O21" s="96"/>
      <c r="P21" s="27" t="s">
        <v>42</v>
      </c>
      <c r="Q21" s="27" t="s">
        <v>157</v>
      </c>
      <c r="R21" s="113" t="s">
        <v>42</v>
      </c>
      <c r="S21" s="96"/>
      <c r="T21" s="27" t="s">
        <v>42</v>
      </c>
      <c r="U21" s="27" t="s">
        <v>157</v>
      </c>
      <c r="V21" s="28"/>
      <c r="W21" s="30">
        <v>39</v>
      </c>
      <c r="X21" s="97" cm="1">
        <f t="array" ref="X21">W21+30</f>
        <v>69</v>
      </c>
      <c r="Y21" s="96"/>
      <c r="Z21" s="27" t="s">
        <v>154</v>
      </c>
      <c r="AA21" s="30" cm="1">
        <f t="array" ref="AA21">(X21/100)*40</f>
        <v>27.599999999999998</v>
      </c>
      <c r="AB21" s="30">
        <v>88</v>
      </c>
      <c r="AC21" s="28"/>
      <c r="AD21" s="28"/>
      <c r="AE21" s="28"/>
      <c r="AF21" s="28"/>
      <c r="AG21" s="28"/>
      <c r="AH21" s="95"/>
      <c r="AI21" s="96"/>
      <c r="AJ21" s="28"/>
      <c r="AK21" s="28"/>
      <c r="AL21" s="28"/>
      <c r="AM21" s="28"/>
      <c r="AN21" s="95"/>
      <c r="AO21" s="96"/>
      <c r="AP21" s="28"/>
      <c r="AQ21" s="28"/>
      <c r="AR21" s="28"/>
      <c r="AS21" s="28"/>
      <c r="AT21" s="95"/>
      <c r="AU21" s="96"/>
      <c r="AV21" s="20"/>
    </row>
    <row r="22" spans="1:48" ht="13.75" customHeight="1">
      <c r="A22" s="90" t="s">
        <v>67</v>
      </c>
      <c r="B22" s="91"/>
      <c r="C22" s="92" t="s">
        <v>68</v>
      </c>
      <c r="D22" s="93"/>
      <c r="E22" s="94"/>
      <c r="F22" s="26" t="s">
        <v>69</v>
      </c>
      <c r="G22" s="90" t="s">
        <v>40</v>
      </c>
      <c r="H22" s="91"/>
      <c r="I22" s="90" t="s">
        <v>41</v>
      </c>
      <c r="J22" s="91"/>
      <c r="K22" s="27" t="s">
        <v>42</v>
      </c>
      <c r="L22" s="27" t="s">
        <v>42</v>
      </c>
      <c r="M22" s="27" t="s">
        <v>42</v>
      </c>
      <c r="N22" s="113" t="s">
        <v>157</v>
      </c>
      <c r="O22" s="96"/>
      <c r="P22" s="27" t="s">
        <v>42</v>
      </c>
      <c r="Q22" s="27" t="s">
        <v>42</v>
      </c>
      <c r="R22" s="113" t="s">
        <v>42</v>
      </c>
      <c r="S22" s="96"/>
      <c r="T22" s="27" t="s">
        <v>42</v>
      </c>
      <c r="U22" s="27" t="s">
        <v>42</v>
      </c>
      <c r="V22" s="28"/>
      <c r="W22" s="30">
        <v>22</v>
      </c>
      <c r="X22" s="97" cm="1">
        <f t="array" ref="X22">W22+30</f>
        <v>52</v>
      </c>
      <c r="Y22" s="96"/>
      <c r="Z22" s="27" t="s">
        <v>154</v>
      </c>
      <c r="AA22" s="30" cm="1">
        <f t="array" ref="AA22">(X22/100)*40</f>
        <v>20.8</v>
      </c>
      <c r="AB22" s="30">
        <v>81</v>
      </c>
      <c r="AC22" s="28"/>
      <c r="AD22" s="28"/>
      <c r="AE22" s="28"/>
      <c r="AF22" s="28"/>
      <c r="AG22" s="28"/>
      <c r="AH22" s="95"/>
      <c r="AI22" s="96"/>
      <c r="AJ22" s="28"/>
      <c r="AK22" s="28"/>
      <c r="AL22" s="28"/>
      <c r="AM22" s="28"/>
      <c r="AN22" s="95"/>
      <c r="AO22" s="96"/>
      <c r="AP22" s="28"/>
      <c r="AQ22" s="28"/>
      <c r="AR22" s="28"/>
      <c r="AS22" s="28"/>
      <c r="AT22" s="95"/>
      <c r="AU22" s="96"/>
      <c r="AV22" s="20"/>
    </row>
    <row r="23" spans="1:48" ht="13.75" customHeight="1">
      <c r="A23" s="90" t="s">
        <v>70</v>
      </c>
      <c r="B23" s="91"/>
      <c r="C23" s="92" t="s">
        <v>71</v>
      </c>
      <c r="D23" s="93"/>
      <c r="E23" s="94"/>
      <c r="F23" s="26" t="s">
        <v>72</v>
      </c>
      <c r="G23" s="90" t="s">
        <v>40</v>
      </c>
      <c r="H23" s="91"/>
      <c r="I23" s="90" t="s">
        <v>41</v>
      </c>
      <c r="J23" s="91"/>
      <c r="K23" s="27" t="s">
        <v>42</v>
      </c>
      <c r="L23" s="27" t="s">
        <v>42</v>
      </c>
      <c r="M23" s="27" t="s">
        <v>42</v>
      </c>
      <c r="N23" s="113" t="s">
        <v>42</v>
      </c>
      <c r="O23" s="96"/>
      <c r="P23" s="27" t="s">
        <v>42</v>
      </c>
      <c r="Q23" s="27" t="s">
        <v>42</v>
      </c>
      <c r="R23" s="113" t="s">
        <v>42</v>
      </c>
      <c r="S23" s="96"/>
      <c r="T23" s="27" t="s">
        <v>42</v>
      </c>
      <c r="U23" s="27" t="s">
        <v>42</v>
      </c>
      <c r="V23" s="28"/>
      <c r="W23" s="30">
        <v>100</v>
      </c>
      <c r="X23" s="97" cm="1">
        <f t="array" ref="X23">W23+30</f>
        <v>130</v>
      </c>
      <c r="Y23" s="96"/>
      <c r="Z23" s="27" t="s">
        <v>154</v>
      </c>
      <c r="AA23" s="30" cm="1">
        <f t="array" ref="AA23">(X23/100)*40</f>
        <v>52</v>
      </c>
      <c r="AB23" s="30">
        <v>100</v>
      </c>
      <c r="AC23" s="28"/>
      <c r="AD23" s="28"/>
      <c r="AE23" s="28"/>
      <c r="AF23" s="28"/>
      <c r="AG23" s="28"/>
      <c r="AH23" s="95"/>
      <c r="AI23" s="96"/>
      <c r="AJ23" s="28"/>
      <c r="AK23" s="28"/>
      <c r="AL23" s="28"/>
      <c r="AM23" s="28"/>
      <c r="AN23" s="95"/>
      <c r="AO23" s="96"/>
      <c r="AP23" s="28"/>
      <c r="AQ23" s="28"/>
      <c r="AR23" s="28"/>
      <c r="AS23" s="28"/>
      <c r="AT23" s="95"/>
      <c r="AU23" s="96"/>
      <c r="AV23" s="20"/>
    </row>
    <row r="24" spans="1:48" ht="13.75" customHeight="1">
      <c r="A24" s="90" t="s">
        <v>73</v>
      </c>
      <c r="B24" s="91"/>
      <c r="C24" s="92" t="s">
        <v>74</v>
      </c>
      <c r="D24" s="93"/>
      <c r="E24" s="94"/>
      <c r="F24" s="26" t="s">
        <v>75</v>
      </c>
      <c r="G24" s="90" t="s">
        <v>40</v>
      </c>
      <c r="H24" s="91"/>
      <c r="I24" s="90" t="s">
        <v>41</v>
      </c>
      <c r="J24" s="91"/>
      <c r="K24" s="27" t="s">
        <v>157</v>
      </c>
      <c r="L24" s="27" t="s">
        <v>42</v>
      </c>
      <c r="M24" s="27" t="s">
        <v>42</v>
      </c>
      <c r="N24" s="113" t="s">
        <v>42</v>
      </c>
      <c r="O24" s="96"/>
      <c r="P24" s="27" t="s">
        <v>42</v>
      </c>
      <c r="Q24" s="27" t="s">
        <v>42</v>
      </c>
      <c r="R24" s="113" t="s">
        <v>42</v>
      </c>
      <c r="S24" s="96"/>
      <c r="T24" s="27" t="s">
        <v>42</v>
      </c>
      <c r="U24" s="27" t="s">
        <v>42</v>
      </c>
      <c r="V24" s="28"/>
      <c r="W24" s="30">
        <v>4</v>
      </c>
      <c r="X24" s="97" cm="1">
        <f t="array" ref="X24">W24+30</f>
        <v>34</v>
      </c>
      <c r="Y24" s="96"/>
      <c r="Z24" s="27" t="s">
        <v>155</v>
      </c>
      <c r="AA24" s="30" cm="1">
        <f t="array" ref="AA24">(X24/100)*40</f>
        <v>13.600000000000001</v>
      </c>
      <c r="AB24" s="30">
        <v>74</v>
      </c>
      <c r="AC24" s="28"/>
      <c r="AD24" s="28"/>
      <c r="AE24" s="28"/>
      <c r="AF24" s="28"/>
      <c r="AG24" s="28"/>
      <c r="AH24" s="95"/>
      <c r="AI24" s="96"/>
      <c r="AJ24" s="28"/>
      <c r="AK24" s="28"/>
      <c r="AL24" s="28"/>
      <c r="AM24" s="28"/>
      <c r="AN24" s="95"/>
      <c r="AO24" s="96"/>
      <c r="AP24" s="28"/>
      <c r="AQ24" s="28"/>
      <c r="AR24" s="28"/>
      <c r="AS24" s="28"/>
      <c r="AT24" s="95"/>
      <c r="AU24" s="96"/>
      <c r="AV24" s="20"/>
    </row>
    <row r="25" spans="1:48" ht="13.75" customHeight="1">
      <c r="A25" s="90" t="s">
        <v>76</v>
      </c>
      <c r="B25" s="91"/>
      <c r="C25" s="92" t="s">
        <v>77</v>
      </c>
      <c r="D25" s="93"/>
      <c r="E25" s="94"/>
      <c r="F25" s="26" t="s">
        <v>78</v>
      </c>
      <c r="G25" s="90" t="s">
        <v>40</v>
      </c>
      <c r="H25" s="91"/>
      <c r="I25" s="90" t="s">
        <v>41</v>
      </c>
      <c r="J25" s="91"/>
      <c r="K25" s="27" t="s">
        <v>42</v>
      </c>
      <c r="L25" s="27" t="s">
        <v>42</v>
      </c>
      <c r="M25" s="27" t="s">
        <v>42</v>
      </c>
      <c r="N25" s="113" t="s">
        <v>42</v>
      </c>
      <c r="O25" s="96"/>
      <c r="P25" s="27" t="s">
        <v>42</v>
      </c>
      <c r="Q25" s="27" t="s">
        <v>42</v>
      </c>
      <c r="R25" s="113" t="s">
        <v>42</v>
      </c>
      <c r="S25" s="96"/>
      <c r="T25" s="27" t="s">
        <v>42</v>
      </c>
      <c r="U25" s="27" t="s">
        <v>42</v>
      </c>
      <c r="V25" s="27" t="s">
        <v>42</v>
      </c>
      <c r="W25" s="30">
        <v>70</v>
      </c>
      <c r="X25" s="97" cm="1">
        <f t="array" ref="X25">W25+30</f>
        <v>100</v>
      </c>
      <c r="Y25" s="96"/>
      <c r="Z25" s="27" t="s">
        <v>155</v>
      </c>
      <c r="AA25" s="30" cm="1">
        <f t="array" ref="AA25">(X25/100)*40</f>
        <v>40</v>
      </c>
      <c r="AB25" s="30">
        <v>100</v>
      </c>
      <c r="AC25" s="28"/>
      <c r="AD25" s="28"/>
      <c r="AE25" s="28"/>
      <c r="AF25" s="28"/>
      <c r="AG25" s="28"/>
      <c r="AH25" s="95"/>
      <c r="AI25" s="96"/>
      <c r="AJ25" s="28"/>
      <c r="AK25" s="28"/>
      <c r="AL25" s="28"/>
      <c r="AM25" s="28"/>
      <c r="AN25" s="95"/>
      <c r="AO25" s="96"/>
      <c r="AP25" s="28"/>
      <c r="AQ25" s="28"/>
      <c r="AR25" s="28"/>
      <c r="AS25" s="28"/>
      <c r="AT25" s="95"/>
      <c r="AU25" s="96"/>
      <c r="AV25" s="20"/>
    </row>
    <row r="26" spans="1:48" ht="13.75" customHeight="1">
      <c r="A26" s="90" t="s">
        <v>79</v>
      </c>
      <c r="B26" s="91"/>
      <c r="C26" s="92" t="s">
        <v>80</v>
      </c>
      <c r="D26" s="93"/>
      <c r="E26" s="94"/>
      <c r="F26" s="26" t="s">
        <v>81</v>
      </c>
      <c r="G26" s="90" t="s">
        <v>40</v>
      </c>
      <c r="H26" s="91"/>
      <c r="I26" s="90" t="s">
        <v>41</v>
      </c>
      <c r="J26" s="91"/>
      <c r="K26" s="27" t="s">
        <v>42</v>
      </c>
      <c r="L26" s="27" t="s">
        <v>42</v>
      </c>
      <c r="M26" s="27" t="s">
        <v>42</v>
      </c>
      <c r="N26" s="113" t="s">
        <v>42</v>
      </c>
      <c r="O26" s="96"/>
      <c r="P26" s="27" t="s">
        <v>42</v>
      </c>
      <c r="Q26" s="27" t="s">
        <v>42</v>
      </c>
      <c r="R26" s="113" t="s">
        <v>42</v>
      </c>
      <c r="S26" s="96"/>
      <c r="T26" s="27" t="s">
        <v>42</v>
      </c>
      <c r="U26" s="27" t="s">
        <v>42</v>
      </c>
      <c r="V26" s="27" t="s">
        <v>42</v>
      </c>
      <c r="W26" s="30">
        <v>55</v>
      </c>
      <c r="X26" s="97" cm="1">
        <f t="array" ref="X26">W26+30</f>
        <v>85</v>
      </c>
      <c r="Y26" s="96"/>
      <c r="Z26" s="27" t="s">
        <v>154</v>
      </c>
      <c r="AA26" s="30" cm="1">
        <f t="array" ref="AA26">(X26/100)*40</f>
        <v>34</v>
      </c>
      <c r="AB26" s="30">
        <v>100</v>
      </c>
      <c r="AC26" s="28"/>
      <c r="AD26" s="28"/>
      <c r="AE26" s="28"/>
      <c r="AF26" s="28"/>
      <c r="AG26" s="28"/>
      <c r="AH26" s="95"/>
      <c r="AI26" s="96"/>
      <c r="AJ26" s="28"/>
      <c r="AK26" s="28"/>
      <c r="AL26" s="28"/>
      <c r="AM26" s="28"/>
      <c r="AN26" s="95"/>
      <c r="AO26" s="96"/>
      <c r="AP26" s="28"/>
      <c r="AQ26" s="28"/>
      <c r="AR26" s="28"/>
      <c r="AS26" s="28"/>
      <c r="AT26" s="95"/>
      <c r="AU26" s="96"/>
      <c r="AV26" s="20"/>
    </row>
    <row r="27" spans="1:48" ht="13.75" customHeight="1">
      <c r="A27" s="90" t="s">
        <v>82</v>
      </c>
      <c r="B27" s="91"/>
      <c r="C27" s="92" t="s">
        <v>83</v>
      </c>
      <c r="D27" s="93"/>
      <c r="E27" s="94"/>
      <c r="F27" s="26" t="s">
        <v>84</v>
      </c>
      <c r="G27" s="90" t="s">
        <v>40</v>
      </c>
      <c r="H27" s="91"/>
      <c r="I27" s="90" t="s">
        <v>41</v>
      </c>
      <c r="J27" s="91"/>
      <c r="K27" s="27" t="s">
        <v>42</v>
      </c>
      <c r="L27" s="27" t="s">
        <v>42</v>
      </c>
      <c r="M27" s="27" t="s">
        <v>42</v>
      </c>
      <c r="N27" s="113" t="s">
        <v>157</v>
      </c>
      <c r="O27" s="96"/>
      <c r="P27" s="27" t="s">
        <v>153</v>
      </c>
      <c r="Q27" s="27" t="s">
        <v>153</v>
      </c>
      <c r="R27" s="113" t="s">
        <v>153</v>
      </c>
      <c r="S27" s="96"/>
      <c r="T27" s="27" t="s">
        <v>153</v>
      </c>
      <c r="U27" s="27" t="s">
        <v>153</v>
      </c>
      <c r="V27" s="28"/>
      <c r="W27" s="30">
        <v>8</v>
      </c>
      <c r="X27" s="97" cm="1">
        <f t="array" ref="X27">W27+30</f>
        <v>38</v>
      </c>
      <c r="Y27" s="96"/>
      <c r="Z27" s="27" t="s">
        <v>154</v>
      </c>
      <c r="AA27" s="30" cm="1">
        <f t="array" ref="AA27">(X27/100)*40</f>
        <v>15.2</v>
      </c>
      <c r="AB27" s="30">
        <v>40</v>
      </c>
      <c r="AC27" s="28"/>
      <c r="AD27" s="28"/>
      <c r="AE27" s="28"/>
      <c r="AF27" s="28"/>
      <c r="AG27" s="28"/>
      <c r="AH27" s="95"/>
      <c r="AI27" s="96"/>
      <c r="AJ27" s="28"/>
      <c r="AK27" s="28"/>
      <c r="AL27" s="28"/>
      <c r="AM27" s="28"/>
      <c r="AN27" s="95"/>
      <c r="AO27" s="96"/>
      <c r="AP27" s="28"/>
      <c r="AQ27" s="28"/>
      <c r="AR27" s="28"/>
      <c r="AS27" s="28"/>
      <c r="AT27" s="95"/>
      <c r="AU27" s="96"/>
      <c r="AV27" s="20"/>
    </row>
    <row r="28" spans="1:48" ht="13.75" customHeight="1">
      <c r="A28" s="90" t="s">
        <v>85</v>
      </c>
      <c r="B28" s="91"/>
      <c r="C28" s="92" t="s">
        <v>86</v>
      </c>
      <c r="D28" s="93"/>
      <c r="E28" s="94"/>
      <c r="F28" s="26" t="s">
        <v>87</v>
      </c>
      <c r="G28" s="90" t="s">
        <v>40</v>
      </c>
      <c r="H28" s="91"/>
      <c r="I28" s="90" t="s">
        <v>41</v>
      </c>
      <c r="J28" s="91"/>
      <c r="K28" s="27" t="s">
        <v>42</v>
      </c>
      <c r="L28" s="27" t="s">
        <v>42</v>
      </c>
      <c r="M28" s="27" t="s">
        <v>42</v>
      </c>
      <c r="N28" s="113" t="s">
        <v>42</v>
      </c>
      <c r="O28" s="96"/>
      <c r="P28" s="27" t="s">
        <v>42</v>
      </c>
      <c r="Q28" s="27" t="s">
        <v>153</v>
      </c>
      <c r="R28" s="113" t="s">
        <v>42</v>
      </c>
      <c r="S28" s="96"/>
      <c r="T28" s="27" t="s">
        <v>42</v>
      </c>
      <c r="U28" s="27" t="s">
        <v>42</v>
      </c>
      <c r="V28" s="28"/>
      <c r="W28" s="30">
        <v>53</v>
      </c>
      <c r="X28" s="97" cm="1">
        <f t="array" ref="X28">W28+30</f>
        <v>83</v>
      </c>
      <c r="Y28" s="96"/>
      <c r="Z28" s="27" t="s">
        <v>154</v>
      </c>
      <c r="AA28" s="30" cm="1">
        <f t="array" ref="AA28">(X28/100)*40</f>
        <v>33.199999999999996</v>
      </c>
      <c r="AB28" s="30" cm="1">
        <f t="array" ref="AB28">54+33</f>
        <v>87</v>
      </c>
      <c r="AC28" s="28"/>
      <c r="AD28" s="28"/>
      <c r="AE28" s="28"/>
      <c r="AF28" s="28"/>
      <c r="AG28" s="28"/>
      <c r="AH28" s="95"/>
      <c r="AI28" s="96"/>
      <c r="AJ28" s="28"/>
      <c r="AK28" s="28"/>
      <c r="AL28" s="28"/>
      <c r="AM28" s="28"/>
      <c r="AN28" s="95"/>
      <c r="AO28" s="96"/>
      <c r="AP28" s="28"/>
      <c r="AQ28" s="28"/>
      <c r="AR28" s="28"/>
      <c r="AS28" s="28"/>
      <c r="AT28" s="95"/>
      <c r="AU28" s="96"/>
      <c r="AV28" s="20"/>
    </row>
    <row r="29" spans="1:48" ht="13.75" customHeight="1">
      <c r="A29" s="90" t="s">
        <v>88</v>
      </c>
      <c r="B29" s="91"/>
      <c r="C29" s="92" t="s">
        <v>89</v>
      </c>
      <c r="D29" s="93"/>
      <c r="E29" s="94"/>
      <c r="F29" s="26" t="s">
        <v>90</v>
      </c>
      <c r="G29" s="90" t="s">
        <v>40</v>
      </c>
      <c r="H29" s="91"/>
      <c r="I29" s="90" t="s">
        <v>41</v>
      </c>
      <c r="J29" s="91"/>
      <c r="K29" s="27" t="s">
        <v>42</v>
      </c>
      <c r="L29" s="27" t="s">
        <v>42</v>
      </c>
      <c r="M29" s="28"/>
      <c r="N29" s="113" t="s">
        <v>42</v>
      </c>
      <c r="O29" s="96"/>
      <c r="P29" s="27" t="s">
        <v>42</v>
      </c>
      <c r="Q29" s="27" t="s">
        <v>42</v>
      </c>
      <c r="R29" s="113" t="s">
        <v>153</v>
      </c>
      <c r="S29" s="96"/>
      <c r="T29" s="27" t="s">
        <v>42</v>
      </c>
      <c r="U29" s="27" t="s">
        <v>42</v>
      </c>
      <c r="V29" s="28"/>
      <c r="W29" s="30">
        <v>9</v>
      </c>
      <c r="X29" s="97" cm="1">
        <f t="array" ref="X29">W29+30</f>
        <v>39</v>
      </c>
      <c r="Y29" s="96"/>
      <c r="Z29" s="27" t="s">
        <v>154</v>
      </c>
      <c r="AA29" s="30" cm="1">
        <f t="array" ref="AA29">(X29/100)*40</f>
        <v>15.600000000000001</v>
      </c>
      <c r="AB29" s="30">
        <v>64</v>
      </c>
      <c r="AC29" s="28"/>
      <c r="AD29" s="28"/>
      <c r="AE29" s="28"/>
      <c r="AF29" s="28"/>
      <c r="AG29" s="28"/>
      <c r="AH29" s="95"/>
      <c r="AI29" s="96"/>
      <c r="AJ29" s="28"/>
      <c r="AK29" s="28"/>
      <c r="AL29" s="28"/>
      <c r="AM29" s="28"/>
      <c r="AN29" s="95"/>
      <c r="AO29" s="96"/>
      <c r="AP29" s="28"/>
      <c r="AQ29" s="28"/>
      <c r="AR29" s="28"/>
      <c r="AS29" s="28"/>
      <c r="AT29" s="95"/>
      <c r="AU29" s="96"/>
      <c r="AV29" s="20"/>
    </row>
    <row r="30" spans="1:48" ht="13.75" customHeight="1">
      <c r="A30" s="90" t="s">
        <v>91</v>
      </c>
      <c r="B30" s="91"/>
      <c r="C30" s="92" t="s">
        <v>92</v>
      </c>
      <c r="D30" s="93"/>
      <c r="E30" s="94"/>
      <c r="F30" s="26" t="s">
        <v>93</v>
      </c>
      <c r="G30" s="90" t="s">
        <v>40</v>
      </c>
      <c r="H30" s="91"/>
      <c r="I30" s="90" t="s">
        <v>41</v>
      </c>
      <c r="J30" s="91"/>
      <c r="K30" s="27" t="s">
        <v>157</v>
      </c>
      <c r="L30" s="27" t="s">
        <v>42</v>
      </c>
      <c r="M30" s="27" t="s">
        <v>42</v>
      </c>
      <c r="N30" s="113" t="s">
        <v>42</v>
      </c>
      <c r="O30" s="96"/>
      <c r="P30" s="27" t="s">
        <v>42</v>
      </c>
      <c r="Q30" s="27" t="s">
        <v>42</v>
      </c>
      <c r="R30" s="113" t="s">
        <v>42</v>
      </c>
      <c r="S30" s="96"/>
      <c r="T30" s="27" t="s">
        <v>42</v>
      </c>
      <c r="U30" s="27" t="s">
        <v>42</v>
      </c>
      <c r="V30" s="28"/>
      <c r="W30" s="30">
        <v>56</v>
      </c>
      <c r="X30" s="97" cm="1">
        <f t="array" ref="X30">W30+30</f>
        <v>86</v>
      </c>
      <c r="Y30" s="96"/>
      <c r="Z30" s="27" t="s">
        <v>155</v>
      </c>
      <c r="AA30" s="30" cm="1">
        <f t="array" ref="AA30">(X30/100)*40</f>
        <v>34.4</v>
      </c>
      <c r="AB30" s="30">
        <v>95</v>
      </c>
      <c r="AC30" s="28"/>
      <c r="AD30" s="28"/>
      <c r="AE30" s="28"/>
      <c r="AF30" s="28"/>
      <c r="AG30" s="28"/>
      <c r="AH30" s="95"/>
      <c r="AI30" s="96"/>
      <c r="AJ30" s="28"/>
      <c r="AK30" s="28"/>
      <c r="AL30" s="28"/>
      <c r="AM30" s="28"/>
      <c r="AN30" s="95"/>
      <c r="AO30" s="96"/>
      <c r="AP30" s="28"/>
      <c r="AQ30" s="28"/>
      <c r="AR30" s="28"/>
      <c r="AS30" s="28"/>
      <c r="AT30" s="95"/>
      <c r="AU30" s="96"/>
      <c r="AV30" s="20"/>
    </row>
    <row r="31" spans="1:48" ht="13.75" customHeight="1">
      <c r="A31" s="90" t="s">
        <v>94</v>
      </c>
      <c r="B31" s="91"/>
      <c r="C31" s="92" t="s">
        <v>95</v>
      </c>
      <c r="D31" s="93"/>
      <c r="E31" s="94"/>
      <c r="F31" s="26" t="s">
        <v>96</v>
      </c>
      <c r="G31" s="90" t="s">
        <v>40</v>
      </c>
      <c r="H31" s="91"/>
      <c r="I31" s="90" t="s">
        <v>41</v>
      </c>
      <c r="J31" s="91"/>
      <c r="K31" s="27" t="s">
        <v>42</v>
      </c>
      <c r="L31" s="27" t="s">
        <v>42</v>
      </c>
      <c r="M31" s="27" t="s">
        <v>42</v>
      </c>
      <c r="N31" s="113" t="s">
        <v>157</v>
      </c>
      <c r="O31" s="96"/>
      <c r="P31" s="27" t="s">
        <v>42</v>
      </c>
      <c r="Q31" s="27" t="s">
        <v>42</v>
      </c>
      <c r="R31" s="113" t="s">
        <v>42</v>
      </c>
      <c r="S31" s="96"/>
      <c r="T31" s="27" t="s">
        <v>42</v>
      </c>
      <c r="U31" s="27" t="s">
        <v>42</v>
      </c>
      <c r="V31" s="28"/>
      <c r="W31" s="30">
        <v>51</v>
      </c>
      <c r="X31" s="97" cm="1">
        <f t="array" ref="X31">W31+30</f>
        <v>81</v>
      </c>
      <c r="Y31" s="96"/>
      <c r="Z31" s="27" t="s">
        <v>154</v>
      </c>
      <c r="AA31" s="30" cm="1">
        <f t="array" ref="AA31">(X31/100)*40</f>
        <v>32.400000000000006</v>
      </c>
      <c r="AB31" s="30">
        <v>93</v>
      </c>
      <c r="AC31" s="28"/>
      <c r="AD31" s="28"/>
      <c r="AE31" s="28"/>
      <c r="AF31" s="28"/>
      <c r="AG31" s="28"/>
      <c r="AH31" s="95"/>
      <c r="AI31" s="96"/>
      <c r="AJ31" s="28"/>
      <c r="AK31" s="28"/>
      <c r="AL31" s="28"/>
      <c r="AM31" s="28"/>
      <c r="AN31" s="95"/>
      <c r="AO31" s="96"/>
      <c r="AP31" s="28"/>
      <c r="AQ31" s="28"/>
      <c r="AR31" s="28"/>
      <c r="AS31" s="28"/>
      <c r="AT31" s="95"/>
      <c r="AU31" s="96"/>
      <c r="AV31" s="20"/>
    </row>
    <row r="32" spans="1:48" ht="13.75" customHeight="1">
      <c r="A32" s="90" t="s">
        <v>97</v>
      </c>
      <c r="B32" s="91"/>
      <c r="C32" s="92" t="s">
        <v>98</v>
      </c>
      <c r="D32" s="93"/>
      <c r="E32" s="94"/>
      <c r="F32" s="26" t="s">
        <v>99</v>
      </c>
      <c r="G32" s="90" t="s">
        <v>40</v>
      </c>
      <c r="H32" s="91"/>
      <c r="I32" s="90" t="s">
        <v>41</v>
      </c>
      <c r="J32" s="91"/>
      <c r="K32" s="27" t="s">
        <v>153</v>
      </c>
      <c r="L32" s="27" t="s">
        <v>153</v>
      </c>
      <c r="M32" s="27" t="s">
        <v>153</v>
      </c>
      <c r="N32" s="113" t="s">
        <v>157</v>
      </c>
      <c r="O32" s="96"/>
      <c r="P32" s="27" t="s">
        <v>157</v>
      </c>
      <c r="Q32" s="27" t="s">
        <v>42</v>
      </c>
      <c r="R32" s="113" t="s">
        <v>42</v>
      </c>
      <c r="S32" s="96"/>
      <c r="T32" s="27" t="s">
        <v>42</v>
      </c>
      <c r="U32" s="27" t="s">
        <v>42</v>
      </c>
      <c r="V32" s="28"/>
      <c r="W32" s="30">
        <v>64</v>
      </c>
      <c r="X32" s="97" cm="1">
        <f t="array" ref="X32">W32+30</f>
        <v>94</v>
      </c>
      <c r="Y32" s="96"/>
      <c r="Z32" s="27" t="s">
        <v>154</v>
      </c>
      <c r="AA32" s="30" cm="1">
        <f t="array" ref="AA32">(X32/100)*40</f>
        <v>37.599999999999994</v>
      </c>
      <c r="AB32" s="30" cm="1">
        <f t="array" ref="AB32">42+38</f>
        <v>80</v>
      </c>
      <c r="AC32" s="28"/>
      <c r="AD32" s="28"/>
      <c r="AE32" s="28"/>
      <c r="AF32" s="28"/>
      <c r="AG32" s="28"/>
      <c r="AH32" s="95"/>
      <c r="AI32" s="96"/>
      <c r="AJ32" s="28"/>
      <c r="AK32" s="28"/>
      <c r="AL32" s="28"/>
      <c r="AM32" s="28"/>
      <c r="AN32" s="95"/>
      <c r="AO32" s="96"/>
      <c r="AP32" s="28"/>
      <c r="AQ32" s="28"/>
      <c r="AR32" s="28"/>
      <c r="AS32" s="28"/>
      <c r="AT32" s="95"/>
      <c r="AU32" s="96"/>
      <c r="AV32" s="20"/>
    </row>
    <row r="33" spans="1:48" ht="13.75" customHeight="1">
      <c r="A33" s="90" t="s">
        <v>100</v>
      </c>
      <c r="B33" s="91"/>
      <c r="C33" s="92" t="s">
        <v>101</v>
      </c>
      <c r="D33" s="93"/>
      <c r="E33" s="94"/>
      <c r="F33" s="26" t="s">
        <v>102</v>
      </c>
      <c r="G33" s="90" t="s">
        <v>40</v>
      </c>
      <c r="H33" s="91"/>
      <c r="I33" s="90" t="s">
        <v>41</v>
      </c>
      <c r="J33" s="91"/>
      <c r="K33" s="27" t="s">
        <v>153</v>
      </c>
      <c r="L33" s="27" t="s">
        <v>153</v>
      </c>
      <c r="M33" s="27" t="s">
        <v>153</v>
      </c>
      <c r="N33" s="113" t="s">
        <v>153</v>
      </c>
      <c r="O33" s="96"/>
      <c r="P33" s="27" t="s">
        <v>153</v>
      </c>
      <c r="Q33" s="27" t="s">
        <v>153</v>
      </c>
      <c r="R33" s="113" t="s">
        <v>153</v>
      </c>
      <c r="S33" s="96"/>
      <c r="T33" s="27" t="s">
        <v>153</v>
      </c>
      <c r="U33" s="27" t="s">
        <v>153</v>
      </c>
      <c r="V33" s="28"/>
      <c r="W33" s="30">
        <v>4</v>
      </c>
      <c r="X33" s="97" cm="1">
        <f t="array" ref="X33">W33+30</f>
        <v>34</v>
      </c>
      <c r="Y33" s="96"/>
      <c r="Z33" s="27" t="s">
        <v>154</v>
      </c>
      <c r="AA33" s="30" cm="1">
        <f t="array" ref="AA33">(X33/100)*40</f>
        <v>13.600000000000001</v>
      </c>
      <c r="AB33" s="30">
        <v>74</v>
      </c>
      <c r="AC33" s="28"/>
      <c r="AD33" s="28"/>
      <c r="AE33" s="28"/>
      <c r="AF33" s="28"/>
      <c r="AG33" s="28"/>
      <c r="AH33" s="95"/>
      <c r="AI33" s="96"/>
      <c r="AJ33" s="28"/>
      <c r="AK33" s="28"/>
      <c r="AL33" s="28"/>
      <c r="AM33" s="28"/>
      <c r="AN33" s="95"/>
      <c r="AO33" s="96"/>
      <c r="AP33" s="28"/>
      <c r="AQ33" s="28"/>
      <c r="AR33" s="28"/>
      <c r="AS33" s="28"/>
      <c r="AT33" s="95"/>
      <c r="AU33" s="96"/>
      <c r="AV33" s="20"/>
    </row>
    <row r="34" spans="1:48" ht="13.75" customHeight="1">
      <c r="A34" s="90" t="s">
        <v>103</v>
      </c>
      <c r="B34" s="91"/>
      <c r="C34" s="92" t="s">
        <v>104</v>
      </c>
      <c r="D34" s="93"/>
      <c r="E34" s="94"/>
      <c r="F34" s="26" t="s">
        <v>105</v>
      </c>
      <c r="G34" s="90" t="s">
        <v>40</v>
      </c>
      <c r="H34" s="91"/>
      <c r="I34" s="90" t="s">
        <v>41</v>
      </c>
      <c r="J34" s="91"/>
      <c r="K34" s="27" t="s">
        <v>42</v>
      </c>
      <c r="L34" s="27" t="s">
        <v>42</v>
      </c>
      <c r="M34" s="27" t="s">
        <v>157</v>
      </c>
      <c r="N34" s="113" t="s">
        <v>42</v>
      </c>
      <c r="O34" s="96"/>
      <c r="P34" s="27" t="s">
        <v>42</v>
      </c>
      <c r="Q34" s="27" t="s">
        <v>42</v>
      </c>
      <c r="R34" s="113" t="s">
        <v>42</v>
      </c>
      <c r="S34" s="96"/>
      <c r="T34" s="27" t="s">
        <v>42</v>
      </c>
      <c r="U34" s="27" t="s">
        <v>42</v>
      </c>
      <c r="V34" s="27" t="s">
        <v>42</v>
      </c>
      <c r="W34" s="30">
        <v>63</v>
      </c>
      <c r="X34" s="97" cm="1">
        <f t="array" ref="X34">W34+30</f>
        <v>93</v>
      </c>
      <c r="Y34" s="96"/>
      <c r="Z34" s="27" t="s">
        <v>154</v>
      </c>
      <c r="AA34" s="30" cm="1">
        <f t="array" ref="AA34">(X34/100)*40</f>
        <v>37.200000000000003</v>
      </c>
      <c r="AB34" s="30">
        <v>100</v>
      </c>
      <c r="AC34" s="28"/>
      <c r="AD34" s="28"/>
      <c r="AE34" s="28"/>
      <c r="AF34" s="28"/>
      <c r="AG34" s="28"/>
      <c r="AH34" s="95"/>
      <c r="AI34" s="96"/>
      <c r="AJ34" s="28"/>
      <c r="AK34" s="28"/>
      <c r="AL34" s="28"/>
      <c r="AM34" s="28"/>
      <c r="AN34" s="95"/>
      <c r="AO34" s="96"/>
      <c r="AP34" s="28"/>
      <c r="AQ34" s="28"/>
      <c r="AR34" s="28"/>
      <c r="AS34" s="28"/>
      <c r="AT34" s="95"/>
      <c r="AU34" s="96"/>
      <c r="AV34" s="20"/>
    </row>
    <row r="35" spans="1:48" ht="13.75" customHeight="1">
      <c r="A35" s="90" t="s">
        <v>106</v>
      </c>
      <c r="B35" s="91"/>
      <c r="C35" s="92" t="s">
        <v>107</v>
      </c>
      <c r="D35" s="93"/>
      <c r="E35" s="94"/>
      <c r="F35" s="26" t="s">
        <v>108</v>
      </c>
      <c r="G35" s="90" t="s">
        <v>40</v>
      </c>
      <c r="H35" s="91"/>
      <c r="I35" s="90" t="s">
        <v>41</v>
      </c>
      <c r="J35" s="91"/>
      <c r="K35" s="27" t="s">
        <v>157</v>
      </c>
      <c r="L35" s="27" t="s">
        <v>42</v>
      </c>
      <c r="M35" s="27" t="s">
        <v>42</v>
      </c>
      <c r="N35" s="113" t="s">
        <v>42</v>
      </c>
      <c r="O35" s="96"/>
      <c r="P35" s="27" t="s">
        <v>42</v>
      </c>
      <c r="Q35" s="27" t="s">
        <v>42</v>
      </c>
      <c r="R35" s="113" t="s">
        <v>42</v>
      </c>
      <c r="S35" s="96"/>
      <c r="T35" s="27" t="s">
        <v>42</v>
      </c>
      <c r="U35" s="27" t="s">
        <v>42</v>
      </c>
      <c r="V35" s="28"/>
      <c r="W35" s="30">
        <v>16</v>
      </c>
      <c r="X35" s="97" cm="1">
        <f t="array" ref="X35">W35+30</f>
        <v>46</v>
      </c>
      <c r="Y35" s="96"/>
      <c r="Z35" s="27" t="s">
        <v>154</v>
      </c>
      <c r="AA35" s="30" cm="1">
        <f t="array" ref="AA35">(X35/100)*40</f>
        <v>18.400000000000002</v>
      </c>
      <c r="AB35" s="30">
        <v>79</v>
      </c>
      <c r="AC35" s="28"/>
      <c r="AD35" s="28"/>
      <c r="AE35" s="28"/>
      <c r="AF35" s="28"/>
      <c r="AG35" s="28"/>
      <c r="AH35" s="95"/>
      <c r="AI35" s="96"/>
      <c r="AJ35" s="28"/>
      <c r="AK35" s="28"/>
      <c r="AL35" s="28"/>
      <c r="AM35" s="28"/>
      <c r="AN35" s="95"/>
      <c r="AO35" s="96"/>
      <c r="AP35" s="28"/>
      <c r="AQ35" s="28"/>
      <c r="AR35" s="28"/>
      <c r="AS35" s="28"/>
      <c r="AT35" s="95"/>
      <c r="AU35" s="96"/>
      <c r="AV35" s="20"/>
    </row>
    <row r="36" spans="1:48" ht="13.75" customHeight="1">
      <c r="A36" s="99">
        <v>24</v>
      </c>
      <c r="B36" s="102"/>
      <c r="C36" s="92" t="s">
        <v>158</v>
      </c>
      <c r="D36" s="68"/>
      <c r="E36" s="102"/>
      <c r="F36" s="31">
        <v>22510751</v>
      </c>
      <c r="G36" s="90" t="s">
        <v>40</v>
      </c>
      <c r="H36" s="102"/>
      <c r="I36" s="90" t="s">
        <v>41</v>
      </c>
      <c r="J36" s="102"/>
      <c r="K36" s="27" t="s">
        <v>157</v>
      </c>
      <c r="L36" s="27" t="s">
        <v>42</v>
      </c>
      <c r="M36" s="27" t="s">
        <v>153</v>
      </c>
      <c r="N36" s="113" t="s">
        <v>42</v>
      </c>
      <c r="O36" s="102"/>
      <c r="P36" s="27" t="s">
        <v>42</v>
      </c>
      <c r="Q36" s="27" t="s">
        <v>42</v>
      </c>
      <c r="R36" s="113" t="s">
        <v>42</v>
      </c>
      <c r="S36" s="102"/>
      <c r="T36" s="27" t="s">
        <v>42</v>
      </c>
      <c r="U36" s="27" t="s">
        <v>42</v>
      </c>
      <c r="V36" s="28"/>
      <c r="W36" s="30">
        <v>33</v>
      </c>
      <c r="X36" s="97" cm="1">
        <f t="array" ref="X36">W36+30</f>
        <v>63</v>
      </c>
      <c r="Y36" s="96"/>
      <c r="Z36" s="27" t="s">
        <v>155</v>
      </c>
      <c r="AA36" s="30" cm="1">
        <f t="array" ref="AA36">(X36/100)*40</f>
        <v>25.2</v>
      </c>
      <c r="AB36" s="30" cm="1">
        <f t="array" ref="AB36">54+26</f>
        <v>80</v>
      </c>
      <c r="AC36" s="28"/>
      <c r="AD36" s="28"/>
      <c r="AE36" s="28"/>
      <c r="AF36" s="28"/>
      <c r="AG36" s="28"/>
      <c r="AH36" s="95"/>
      <c r="AI36" s="102"/>
      <c r="AJ36" s="28"/>
      <c r="AK36" s="28"/>
      <c r="AL36" s="28"/>
      <c r="AM36" s="28"/>
      <c r="AN36" s="95"/>
      <c r="AO36" s="102"/>
      <c r="AP36" s="28"/>
      <c r="AQ36" s="28"/>
      <c r="AR36" s="28"/>
      <c r="AS36" s="28"/>
      <c r="AT36" s="95"/>
      <c r="AU36" s="102"/>
      <c r="AV36" s="20"/>
    </row>
    <row r="37" spans="1:48" ht="13.75" customHeight="1">
      <c r="A37" s="99">
        <v>25</v>
      </c>
      <c r="B37" s="91"/>
      <c r="C37" s="92" t="s">
        <v>110</v>
      </c>
      <c r="D37" s="93"/>
      <c r="E37" s="94"/>
      <c r="F37" s="26" t="s">
        <v>111</v>
      </c>
      <c r="G37" s="90" t="s">
        <v>40</v>
      </c>
      <c r="H37" s="91"/>
      <c r="I37" s="90" t="s">
        <v>41</v>
      </c>
      <c r="J37" s="91"/>
      <c r="K37" s="27" t="s">
        <v>42</v>
      </c>
      <c r="L37" s="27" t="s">
        <v>42</v>
      </c>
      <c r="M37" s="27" t="s">
        <v>157</v>
      </c>
      <c r="N37" s="113" t="s">
        <v>42</v>
      </c>
      <c r="O37" s="96"/>
      <c r="P37" s="27" t="s">
        <v>42</v>
      </c>
      <c r="Q37" s="27" t="s">
        <v>42</v>
      </c>
      <c r="R37" s="113" t="s">
        <v>42</v>
      </c>
      <c r="S37" s="96"/>
      <c r="T37" s="27" t="s">
        <v>42</v>
      </c>
      <c r="U37" s="27" t="s">
        <v>42</v>
      </c>
      <c r="V37" s="27" t="s">
        <v>42</v>
      </c>
      <c r="W37" s="30">
        <v>35</v>
      </c>
      <c r="X37" s="97" cm="1">
        <f t="array" ref="X37">W37+30</f>
        <v>65</v>
      </c>
      <c r="Y37" s="96"/>
      <c r="Z37" s="27" t="s">
        <v>154</v>
      </c>
      <c r="AA37" s="30" cm="1">
        <f t="array" ref="AA37">(X37/100)*40</f>
        <v>26</v>
      </c>
      <c r="AB37" s="30">
        <v>96</v>
      </c>
      <c r="AC37" s="28"/>
      <c r="AD37" s="28"/>
      <c r="AE37" s="28"/>
      <c r="AF37" s="28"/>
      <c r="AG37" s="28"/>
      <c r="AH37" s="95"/>
      <c r="AI37" s="96"/>
      <c r="AJ37" s="28"/>
      <c r="AK37" s="28"/>
      <c r="AL37" s="28"/>
      <c r="AM37" s="28"/>
      <c r="AN37" s="95"/>
      <c r="AO37" s="96"/>
      <c r="AP37" s="28"/>
      <c r="AQ37" s="28"/>
      <c r="AR37" s="28"/>
      <c r="AS37" s="28"/>
      <c r="AT37" s="95"/>
      <c r="AU37" s="96"/>
      <c r="AV37" s="20"/>
    </row>
    <row r="38" spans="1:48" ht="13.75" customHeight="1">
      <c r="A38" s="99">
        <v>26</v>
      </c>
      <c r="B38" s="91"/>
      <c r="C38" s="92" t="s">
        <v>113</v>
      </c>
      <c r="D38" s="93"/>
      <c r="E38" s="94"/>
      <c r="F38" s="26" t="s">
        <v>114</v>
      </c>
      <c r="G38" s="90" t="s">
        <v>40</v>
      </c>
      <c r="H38" s="91"/>
      <c r="I38" s="90" t="s">
        <v>41</v>
      </c>
      <c r="J38" s="91"/>
      <c r="K38" s="27" t="s">
        <v>157</v>
      </c>
      <c r="L38" s="27" t="s">
        <v>42</v>
      </c>
      <c r="M38" s="27" t="s">
        <v>42</v>
      </c>
      <c r="N38" s="113" t="s">
        <v>42</v>
      </c>
      <c r="O38" s="96"/>
      <c r="P38" s="27" t="s">
        <v>42</v>
      </c>
      <c r="Q38" s="27" t="s">
        <v>42</v>
      </c>
      <c r="R38" s="113" t="s">
        <v>42</v>
      </c>
      <c r="S38" s="96"/>
      <c r="T38" s="27" t="s">
        <v>157</v>
      </c>
      <c r="U38" s="27" t="s">
        <v>42</v>
      </c>
      <c r="V38" s="28"/>
      <c r="W38" s="30">
        <v>37</v>
      </c>
      <c r="X38" s="97" cm="1">
        <f t="array" ref="X38">W38+30</f>
        <v>67</v>
      </c>
      <c r="Y38" s="96"/>
      <c r="Z38" s="27" t="s">
        <v>154</v>
      </c>
      <c r="AA38" s="30" cm="1">
        <f t="array" ref="AA38">(X38/100)*40</f>
        <v>26.8</v>
      </c>
      <c r="AB38" s="30">
        <v>97</v>
      </c>
      <c r="AC38" s="28"/>
      <c r="AD38" s="28"/>
      <c r="AE38" s="28"/>
      <c r="AF38" s="28"/>
      <c r="AG38" s="28"/>
      <c r="AH38" s="95"/>
      <c r="AI38" s="96"/>
      <c r="AJ38" s="28"/>
      <c r="AK38" s="28"/>
      <c r="AL38" s="28"/>
      <c r="AM38" s="28"/>
      <c r="AN38" s="95"/>
      <c r="AO38" s="96"/>
      <c r="AP38" s="28"/>
      <c r="AQ38" s="28"/>
      <c r="AR38" s="28"/>
      <c r="AS38" s="28"/>
      <c r="AT38" s="95"/>
      <c r="AU38" s="96"/>
      <c r="AV38" s="20"/>
    </row>
    <row r="39" spans="1:48" ht="13.75" customHeight="1">
      <c r="A39" s="99">
        <v>27</v>
      </c>
      <c r="B39" s="91"/>
      <c r="C39" s="92" t="s">
        <v>116</v>
      </c>
      <c r="D39" s="93"/>
      <c r="E39" s="94"/>
      <c r="F39" s="26" t="s">
        <v>117</v>
      </c>
      <c r="G39" s="90" t="s">
        <v>118</v>
      </c>
      <c r="H39" s="91"/>
      <c r="I39" s="90" t="s">
        <v>41</v>
      </c>
      <c r="J39" s="91"/>
      <c r="K39" s="27" t="s">
        <v>157</v>
      </c>
      <c r="L39" s="27" t="s">
        <v>42</v>
      </c>
      <c r="M39" s="27" t="s">
        <v>42</v>
      </c>
      <c r="N39" s="113" t="s">
        <v>42</v>
      </c>
      <c r="O39" s="96"/>
      <c r="P39" s="27" t="s">
        <v>42</v>
      </c>
      <c r="Q39" s="27" t="s">
        <v>42</v>
      </c>
      <c r="R39" s="113" t="s">
        <v>42</v>
      </c>
      <c r="S39" s="96"/>
      <c r="T39" s="27" t="s">
        <v>42</v>
      </c>
      <c r="U39" s="27" t="s">
        <v>42</v>
      </c>
      <c r="V39" s="28"/>
      <c r="W39" s="30">
        <v>14</v>
      </c>
      <c r="X39" s="97" cm="1">
        <f t="array" ref="X39">W39+30</f>
        <v>44</v>
      </c>
      <c r="Y39" s="96"/>
      <c r="Z39" s="27" t="s">
        <v>154</v>
      </c>
      <c r="AA39" s="30" cm="1">
        <f t="array" ref="AA39">(X39/100)*40</f>
        <v>17.600000000000001</v>
      </c>
      <c r="AB39" s="30">
        <v>78</v>
      </c>
      <c r="AC39" s="28"/>
      <c r="AD39" s="28"/>
      <c r="AE39" s="28"/>
      <c r="AF39" s="28"/>
      <c r="AG39" s="28"/>
      <c r="AH39" s="95"/>
      <c r="AI39" s="96"/>
      <c r="AJ39" s="28"/>
      <c r="AK39" s="28"/>
      <c r="AL39" s="28"/>
      <c r="AM39" s="28"/>
      <c r="AN39" s="95"/>
      <c r="AO39" s="96"/>
      <c r="AP39" s="28"/>
      <c r="AQ39" s="28"/>
      <c r="AR39" s="28"/>
      <c r="AS39" s="28"/>
      <c r="AT39" s="95"/>
      <c r="AU39" s="96"/>
      <c r="AV39" s="20"/>
    </row>
    <row r="40" spans="1:48" ht="13.75" customHeight="1">
      <c r="A40" s="99">
        <v>28</v>
      </c>
      <c r="B40" s="91"/>
      <c r="C40" s="92" t="s">
        <v>120</v>
      </c>
      <c r="D40" s="93"/>
      <c r="E40" s="94"/>
      <c r="F40" s="26" t="s">
        <v>121</v>
      </c>
      <c r="G40" s="90" t="s">
        <v>40</v>
      </c>
      <c r="H40" s="91"/>
      <c r="I40" s="90" t="s">
        <v>41</v>
      </c>
      <c r="J40" s="91"/>
      <c r="K40" s="27" t="s">
        <v>157</v>
      </c>
      <c r="L40" s="27" t="s">
        <v>42</v>
      </c>
      <c r="M40" s="27" t="s">
        <v>42</v>
      </c>
      <c r="N40" s="113" t="s">
        <v>157</v>
      </c>
      <c r="O40" s="96"/>
      <c r="P40" s="27" t="s">
        <v>42</v>
      </c>
      <c r="Q40" s="27" t="s">
        <v>42</v>
      </c>
      <c r="R40" s="113" t="s">
        <v>42</v>
      </c>
      <c r="S40" s="96"/>
      <c r="T40" s="27" t="s">
        <v>42</v>
      </c>
      <c r="U40" s="27" t="s">
        <v>42</v>
      </c>
      <c r="V40" s="28"/>
      <c r="W40" s="30">
        <v>13</v>
      </c>
      <c r="X40" s="97" cm="1">
        <f t="array" ref="X40">W40+30</f>
        <v>43</v>
      </c>
      <c r="Y40" s="96"/>
      <c r="Z40" s="27" t="s">
        <v>154</v>
      </c>
      <c r="AA40" s="30" cm="1">
        <f t="array" ref="AA40">(X40/100)*40</f>
        <v>17.2</v>
      </c>
      <c r="AB40" s="30">
        <v>78</v>
      </c>
      <c r="AC40" s="28"/>
      <c r="AD40" s="28"/>
      <c r="AE40" s="28"/>
      <c r="AF40" s="28"/>
      <c r="AG40" s="28"/>
      <c r="AH40" s="95"/>
      <c r="AI40" s="96"/>
      <c r="AJ40" s="28"/>
      <c r="AK40" s="28"/>
      <c r="AL40" s="28"/>
      <c r="AM40" s="28"/>
      <c r="AN40" s="95"/>
      <c r="AO40" s="96"/>
      <c r="AP40" s="28"/>
      <c r="AQ40" s="28"/>
      <c r="AR40" s="28"/>
      <c r="AS40" s="28"/>
      <c r="AT40" s="95"/>
      <c r="AU40" s="96"/>
      <c r="AV40" s="20"/>
    </row>
    <row r="41" spans="1:48" ht="13.75" customHeight="1">
      <c r="A41" s="99">
        <v>29</v>
      </c>
      <c r="B41" s="91"/>
      <c r="C41" s="92" t="s">
        <v>123</v>
      </c>
      <c r="D41" s="93"/>
      <c r="E41" s="94"/>
      <c r="F41" s="26" t="s">
        <v>124</v>
      </c>
      <c r="G41" s="90" t="s">
        <v>40</v>
      </c>
      <c r="H41" s="91"/>
      <c r="I41" s="90" t="s">
        <v>41</v>
      </c>
      <c r="J41" s="91"/>
      <c r="K41" s="27" t="s">
        <v>42</v>
      </c>
      <c r="L41" s="27" t="s">
        <v>42</v>
      </c>
      <c r="M41" s="27" t="s">
        <v>42</v>
      </c>
      <c r="N41" s="113" t="s">
        <v>42</v>
      </c>
      <c r="O41" s="96"/>
      <c r="P41" s="27" t="s">
        <v>42</v>
      </c>
      <c r="Q41" s="27" t="s">
        <v>42</v>
      </c>
      <c r="R41" s="113" t="s">
        <v>42</v>
      </c>
      <c r="S41" s="96"/>
      <c r="T41" s="27" t="s">
        <v>42</v>
      </c>
      <c r="U41" s="27" t="s">
        <v>42</v>
      </c>
      <c r="V41" s="27" t="s">
        <v>42</v>
      </c>
      <c r="W41" s="30">
        <v>14</v>
      </c>
      <c r="X41" s="97" cm="1">
        <f t="array" ref="X41">W41+30</f>
        <v>44</v>
      </c>
      <c r="Y41" s="96"/>
      <c r="Z41" s="27" t="s">
        <v>154</v>
      </c>
      <c r="AA41" s="30" cm="1">
        <f t="array" ref="AA41">(X41/100)*40</f>
        <v>17.600000000000001</v>
      </c>
      <c r="AB41" s="30">
        <v>88</v>
      </c>
      <c r="AC41" s="28"/>
      <c r="AD41" s="28"/>
      <c r="AE41" s="28"/>
      <c r="AF41" s="28"/>
      <c r="AG41" s="28"/>
      <c r="AH41" s="95"/>
      <c r="AI41" s="96"/>
      <c r="AJ41" s="28"/>
      <c r="AK41" s="28"/>
      <c r="AL41" s="28"/>
      <c r="AM41" s="28"/>
      <c r="AN41" s="95"/>
      <c r="AO41" s="96"/>
      <c r="AP41" s="28"/>
      <c r="AQ41" s="28"/>
      <c r="AR41" s="28"/>
      <c r="AS41" s="28"/>
      <c r="AT41" s="95"/>
      <c r="AU41" s="96"/>
      <c r="AV41" s="20"/>
    </row>
    <row r="42" spans="1:48" ht="13.75" customHeight="1">
      <c r="A42" s="99">
        <v>30</v>
      </c>
      <c r="B42" s="91"/>
      <c r="C42" s="92" t="s">
        <v>126</v>
      </c>
      <c r="D42" s="93"/>
      <c r="E42" s="94"/>
      <c r="F42" s="26" t="s">
        <v>127</v>
      </c>
      <c r="G42" s="90" t="s">
        <v>40</v>
      </c>
      <c r="H42" s="91"/>
      <c r="I42" s="90" t="s">
        <v>41</v>
      </c>
      <c r="J42" s="91"/>
      <c r="K42" s="27" t="s">
        <v>157</v>
      </c>
      <c r="L42" s="27" t="s">
        <v>42</v>
      </c>
      <c r="M42" s="27" t="s">
        <v>42</v>
      </c>
      <c r="N42" s="113" t="s">
        <v>42</v>
      </c>
      <c r="O42" s="96"/>
      <c r="P42" s="27" t="s">
        <v>42</v>
      </c>
      <c r="Q42" s="27" t="s">
        <v>42</v>
      </c>
      <c r="R42" s="113" t="s">
        <v>42</v>
      </c>
      <c r="S42" s="96"/>
      <c r="T42" s="27" t="s">
        <v>42</v>
      </c>
      <c r="U42" s="27" t="s">
        <v>42</v>
      </c>
      <c r="V42" s="27" t="s">
        <v>42</v>
      </c>
      <c r="W42" s="30">
        <v>50</v>
      </c>
      <c r="X42" s="97" cm="1">
        <f t="array" ref="X42">W42+30</f>
        <v>80</v>
      </c>
      <c r="Y42" s="96"/>
      <c r="Z42" s="27" t="s">
        <v>154</v>
      </c>
      <c r="AA42" s="30" cm="1">
        <f t="array" ref="AA42">(X42/100)*40</f>
        <v>32</v>
      </c>
      <c r="AB42" s="30">
        <v>100</v>
      </c>
      <c r="AC42" s="28"/>
      <c r="AD42" s="28"/>
      <c r="AE42" s="28"/>
      <c r="AF42" s="28"/>
      <c r="AG42" s="28"/>
      <c r="AH42" s="95"/>
      <c r="AI42" s="96"/>
      <c r="AJ42" s="28"/>
      <c r="AK42" s="28"/>
      <c r="AL42" s="28"/>
      <c r="AM42" s="28"/>
      <c r="AN42" s="95"/>
      <c r="AO42" s="96"/>
      <c r="AP42" s="28"/>
      <c r="AQ42" s="28"/>
      <c r="AR42" s="28"/>
      <c r="AS42" s="28"/>
      <c r="AT42" s="95"/>
      <c r="AU42" s="96"/>
      <c r="AV42" s="20"/>
    </row>
    <row r="43" spans="1:48" ht="13.75" customHeight="1">
      <c r="A43" s="99">
        <v>31</v>
      </c>
      <c r="B43" s="91"/>
      <c r="C43" s="92" t="s">
        <v>129</v>
      </c>
      <c r="D43" s="93"/>
      <c r="E43" s="94"/>
      <c r="F43" s="26" t="s">
        <v>130</v>
      </c>
      <c r="G43" s="90" t="s">
        <v>40</v>
      </c>
      <c r="H43" s="91"/>
      <c r="I43" s="90" t="s">
        <v>41</v>
      </c>
      <c r="J43" s="91"/>
      <c r="K43" s="27" t="s">
        <v>42</v>
      </c>
      <c r="L43" s="27" t="s">
        <v>42</v>
      </c>
      <c r="M43" s="27" t="s">
        <v>42</v>
      </c>
      <c r="N43" s="113" t="s">
        <v>42</v>
      </c>
      <c r="O43" s="96"/>
      <c r="P43" s="27" t="s">
        <v>42</v>
      </c>
      <c r="Q43" s="27" t="s">
        <v>42</v>
      </c>
      <c r="R43" s="113" t="s">
        <v>42</v>
      </c>
      <c r="S43" s="96"/>
      <c r="T43" s="27" t="s">
        <v>42</v>
      </c>
      <c r="U43" s="27" t="s">
        <v>42</v>
      </c>
      <c r="V43" s="27" t="s">
        <v>42</v>
      </c>
      <c r="W43" s="30">
        <v>29</v>
      </c>
      <c r="X43" s="97" cm="1">
        <f t="array" ref="X43">W43+30</f>
        <v>59</v>
      </c>
      <c r="Y43" s="96"/>
      <c r="Z43" s="27" t="s">
        <v>154</v>
      </c>
      <c r="AA43" s="30" cm="1">
        <f t="array" ref="AA43">(X43/100)*40</f>
        <v>23.599999999999998</v>
      </c>
      <c r="AB43" s="30">
        <v>94</v>
      </c>
      <c r="AC43" s="28"/>
      <c r="AD43" s="28"/>
      <c r="AE43" s="28"/>
      <c r="AF43" s="28"/>
      <c r="AG43" s="28"/>
      <c r="AH43" s="95"/>
      <c r="AI43" s="96"/>
      <c r="AJ43" s="28"/>
      <c r="AK43" s="28"/>
      <c r="AL43" s="28"/>
      <c r="AM43" s="28"/>
      <c r="AN43" s="95"/>
      <c r="AO43" s="96"/>
      <c r="AP43" s="28"/>
      <c r="AQ43" s="28"/>
      <c r="AR43" s="28"/>
      <c r="AS43" s="28"/>
      <c r="AT43" s="95"/>
      <c r="AU43" s="96"/>
      <c r="AV43" s="20"/>
    </row>
    <row r="44" spans="1:48" ht="13.75" customHeight="1">
      <c r="A44" s="99">
        <v>32</v>
      </c>
      <c r="B44" s="91"/>
      <c r="C44" s="92" t="s">
        <v>132</v>
      </c>
      <c r="D44" s="93"/>
      <c r="E44" s="94"/>
      <c r="F44" s="26" t="s">
        <v>133</v>
      </c>
      <c r="G44" s="90" t="s">
        <v>40</v>
      </c>
      <c r="H44" s="91"/>
      <c r="I44" s="90" t="s">
        <v>41</v>
      </c>
      <c r="J44" s="91"/>
      <c r="K44" s="27" t="s">
        <v>157</v>
      </c>
      <c r="L44" s="27" t="s">
        <v>42</v>
      </c>
      <c r="M44" s="27" t="s">
        <v>42</v>
      </c>
      <c r="N44" s="113" t="s">
        <v>42</v>
      </c>
      <c r="O44" s="96"/>
      <c r="P44" s="27" t="s">
        <v>42</v>
      </c>
      <c r="Q44" s="27" t="s">
        <v>42</v>
      </c>
      <c r="R44" s="113" t="s">
        <v>42</v>
      </c>
      <c r="S44" s="96"/>
      <c r="T44" s="27" t="s">
        <v>42</v>
      </c>
      <c r="U44" s="27" t="s">
        <v>42</v>
      </c>
      <c r="V44" s="28"/>
      <c r="W44" s="30">
        <v>44</v>
      </c>
      <c r="X44" s="97" cm="1">
        <f t="array" ref="X44">W44+30</f>
        <v>74</v>
      </c>
      <c r="Y44" s="96"/>
      <c r="Z44" s="27" t="s">
        <v>154</v>
      </c>
      <c r="AA44" s="30" cm="1">
        <f t="array" ref="AA44">(X44/100)*40</f>
        <v>29.6</v>
      </c>
      <c r="AB44" s="30">
        <v>90</v>
      </c>
      <c r="AC44" s="28"/>
      <c r="AD44" s="28"/>
      <c r="AE44" s="28"/>
      <c r="AF44" s="28"/>
      <c r="AG44" s="28"/>
      <c r="AH44" s="95"/>
      <c r="AI44" s="96"/>
      <c r="AJ44" s="28"/>
      <c r="AK44" s="28"/>
      <c r="AL44" s="28"/>
      <c r="AM44" s="28"/>
      <c r="AN44" s="95"/>
      <c r="AO44" s="96"/>
      <c r="AP44" s="28"/>
      <c r="AQ44" s="28"/>
      <c r="AR44" s="28"/>
      <c r="AS44" s="28"/>
      <c r="AT44" s="95"/>
      <c r="AU44" s="96"/>
      <c r="AV44" s="20"/>
    </row>
    <row r="45" spans="1:48" ht="13.75" customHeight="1">
      <c r="A45" s="99">
        <v>33</v>
      </c>
      <c r="B45" s="91"/>
      <c r="C45" s="92" t="s">
        <v>135</v>
      </c>
      <c r="D45" s="93"/>
      <c r="E45" s="94"/>
      <c r="F45" s="26" t="s">
        <v>136</v>
      </c>
      <c r="G45" s="90" t="s">
        <v>40</v>
      </c>
      <c r="H45" s="91"/>
      <c r="I45" s="90" t="s">
        <v>41</v>
      </c>
      <c r="J45" s="91"/>
      <c r="K45" s="27" t="s">
        <v>42</v>
      </c>
      <c r="L45" s="27" t="s">
        <v>42</v>
      </c>
      <c r="M45" s="27" t="s">
        <v>42</v>
      </c>
      <c r="N45" s="113" t="s">
        <v>42</v>
      </c>
      <c r="O45" s="96"/>
      <c r="P45" s="27" t="s">
        <v>42</v>
      </c>
      <c r="Q45" s="27" t="s">
        <v>42</v>
      </c>
      <c r="R45" s="113" t="s">
        <v>42</v>
      </c>
      <c r="S45" s="96"/>
      <c r="T45" s="27" t="s">
        <v>42</v>
      </c>
      <c r="U45" s="27" t="s">
        <v>42</v>
      </c>
      <c r="V45" s="27" t="s">
        <v>42</v>
      </c>
      <c r="W45" s="30">
        <v>4</v>
      </c>
      <c r="X45" s="97" cm="1">
        <f t="array" ref="X45">W45+30</f>
        <v>34</v>
      </c>
      <c r="Y45" s="96"/>
      <c r="Z45" s="27" t="s">
        <v>155</v>
      </c>
      <c r="AA45" s="30" cm="1">
        <f t="array" ref="AA45">(X45/100)*40</f>
        <v>13.600000000000001</v>
      </c>
      <c r="AB45" s="30">
        <v>84</v>
      </c>
      <c r="AC45" s="28"/>
      <c r="AD45" s="28"/>
      <c r="AE45" s="28"/>
      <c r="AF45" s="28"/>
      <c r="AG45" s="28"/>
      <c r="AH45" s="95"/>
      <c r="AI45" s="96"/>
      <c r="AJ45" s="28"/>
      <c r="AK45" s="28"/>
      <c r="AL45" s="28"/>
      <c r="AM45" s="28"/>
      <c r="AN45" s="95"/>
      <c r="AO45" s="96"/>
      <c r="AP45" s="28"/>
      <c r="AQ45" s="28"/>
      <c r="AR45" s="28"/>
      <c r="AS45" s="28"/>
      <c r="AT45" s="95"/>
      <c r="AU45" s="96"/>
      <c r="AV45" s="32"/>
    </row>
    <row r="46" spans="1:48" ht="13.75" customHeight="1">
      <c r="A46" s="99">
        <v>34</v>
      </c>
      <c r="B46" s="91"/>
      <c r="C46" s="92" t="s">
        <v>138</v>
      </c>
      <c r="D46" s="93"/>
      <c r="E46" s="94"/>
      <c r="F46" s="26" t="s">
        <v>139</v>
      </c>
      <c r="G46" s="90" t="s">
        <v>40</v>
      </c>
      <c r="H46" s="91"/>
      <c r="I46" s="90" t="s">
        <v>41</v>
      </c>
      <c r="J46" s="91"/>
      <c r="K46" s="27" t="s">
        <v>42</v>
      </c>
      <c r="L46" s="27" t="s">
        <v>42</v>
      </c>
      <c r="M46" s="27" t="s">
        <v>157</v>
      </c>
      <c r="N46" s="113" t="s">
        <v>42</v>
      </c>
      <c r="O46" s="96"/>
      <c r="P46" s="27" t="s">
        <v>42</v>
      </c>
      <c r="Q46" s="27" t="s">
        <v>42</v>
      </c>
      <c r="R46" s="113" t="s">
        <v>42</v>
      </c>
      <c r="S46" s="96"/>
      <c r="T46" s="27" t="s">
        <v>42</v>
      </c>
      <c r="U46" s="27" t="s">
        <v>42</v>
      </c>
      <c r="V46" s="27" t="s">
        <v>42</v>
      </c>
      <c r="W46" s="30">
        <v>37</v>
      </c>
      <c r="X46" s="97" cm="1">
        <f t="array" ref="X46">W46+30</f>
        <v>67</v>
      </c>
      <c r="Y46" s="96"/>
      <c r="Z46" s="27" t="s">
        <v>159</v>
      </c>
      <c r="AA46" s="30" cm="1">
        <f t="array" ref="AA46">(X46/100)*40</f>
        <v>26.8</v>
      </c>
      <c r="AB46" s="30">
        <v>97</v>
      </c>
      <c r="AC46" s="28"/>
      <c r="AD46" s="28"/>
      <c r="AE46" s="28"/>
      <c r="AF46" s="28"/>
      <c r="AG46" s="28"/>
      <c r="AH46" s="95"/>
      <c r="AI46" s="96"/>
      <c r="AJ46" s="28"/>
      <c r="AK46" s="28"/>
      <c r="AL46" s="28"/>
      <c r="AM46" s="28"/>
      <c r="AN46" s="95"/>
      <c r="AO46" s="96"/>
      <c r="AP46" s="28"/>
      <c r="AQ46" s="28"/>
      <c r="AR46" s="28"/>
      <c r="AS46" s="28"/>
      <c r="AT46" s="95"/>
      <c r="AU46" s="96"/>
      <c r="AV46" s="20"/>
    </row>
    <row r="47" spans="1:48" ht="13.75" customHeight="1">
      <c r="A47" s="99">
        <v>35</v>
      </c>
      <c r="B47" s="91"/>
      <c r="C47" s="92" t="s">
        <v>141</v>
      </c>
      <c r="D47" s="93"/>
      <c r="E47" s="94"/>
      <c r="F47" s="26" t="s">
        <v>142</v>
      </c>
      <c r="G47" s="90" t="s">
        <v>40</v>
      </c>
      <c r="H47" s="91"/>
      <c r="I47" s="90" t="s">
        <v>41</v>
      </c>
      <c r="J47" s="91"/>
      <c r="K47" s="27" t="s">
        <v>42</v>
      </c>
      <c r="L47" s="27" t="s">
        <v>153</v>
      </c>
      <c r="M47" s="28"/>
      <c r="N47" s="113" t="s">
        <v>42</v>
      </c>
      <c r="O47" s="96"/>
      <c r="P47" s="27" t="s">
        <v>42</v>
      </c>
      <c r="Q47" s="27" t="s">
        <v>157</v>
      </c>
      <c r="R47" s="113" t="s">
        <v>42</v>
      </c>
      <c r="S47" s="96"/>
      <c r="T47" s="27" t="s">
        <v>157</v>
      </c>
      <c r="U47" s="27" t="s">
        <v>153</v>
      </c>
      <c r="V47" s="28"/>
      <c r="W47" s="30">
        <v>35</v>
      </c>
      <c r="X47" s="97" cm="1">
        <f t="array" ref="X47">W47+30</f>
        <v>65</v>
      </c>
      <c r="Y47" s="96"/>
      <c r="Z47" s="27" t="s">
        <v>154</v>
      </c>
      <c r="AA47" s="30" cm="1">
        <f t="array" ref="AA47">(X47/100)*40</f>
        <v>26</v>
      </c>
      <c r="AB47" s="30">
        <v>68</v>
      </c>
      <c r="AC47" s="28"/>
      <c r="AD47" s="28"/>
      <c r="AE47" s="28"/>
      <c r="AF47" s="28"/>
      <c r="AG47" s="28"/>
      <c r="AH47" s="95"/>
      <c r="AI47" s="96"/>
      <c r="AJ47" s="28"/>
      <c r="AK47" s="28"/>
      <c r="AL47" s="28"/>
      <c r="AM47" s="28"/>
      <c r="AN47" s="95"/>
      <c r="AO47" s="96"/>
      <c r="AP47" s="28"/>
      <c r="AQ47" s="28"/>
      <c r="AR47" s="28"/>
      <c r="AS47" s="28"/>
      <c r="AT47" s="95"/>
      <c r="AU47" s="96"/>
      <c r="AV47" s="20"/>
    </row>
    <row r="48" spans="1:48" ht="13.75" customHeight="1">
      <c r="A48" s="99">
        <v>36</v>
      </c>
      <c r="B48" s="91"/>
      <c r="C48" s="92" t="s">
        <v>144</v>
      </c>
      <c r="D48" s="93"/>
      <c r="E48" s="94"/>
      <c r="F48" s="26" t="s">
        <v>145</v>
      </c>
      <c r="G48" s="90" t="s">
        <v>40</v>
      </c>
      <c r="H48" s="91"/>
      <c r="I48" s="90" t="s">
        <v>41</v>
      </c>
      <c r="J48" s="91"/>
      <c r="K48" s="27" t="s">
        <v>42</v>
      </c>
      <c r="L48" s="27" t="s">
        <v>42</v>
      </c>
      <c r="M48" s="27" t="s">
        <v>42</v>
      </c>
      <c r="N48" s="113" t="s">
        <v>42</v>
      </c>
      <c r="O48" s="96"/>
      <c r="P48" s="27" t="s">
        <v>42</v>
      </c>
      <c r="Q48" s="27" t="s">
        <v>42</v>
      </c>
      <c r="R48" s="113" t="s">
        <v>42</v>
      </c>
      <c r="S48" s="96"/>
      <c r="T48" s="27" t="s">
        <v>42</v>
      </c>
      <c r="U48" s="27" t="s">
        <v>42</v>
      </c>
      <c r="V48" s="27" t="s">
        <v>42</v>
      </c>
      <c r="W48" s="30">
        <v>4</v>
      </c>
      <c r="X48" s="97" cm="1">
        <f t="array" ref="X48">W48+30</f>
        <v>34</v>
      </c>
      <c r="Y48" s="96"/>
      <c r="Z48" s="27" t="s">
        <v>154</v>
      </c>
      <c r="AA48" s="30" cm="1">
        <f t="array" ref="AA48">(X48/100)*40</f>
        <v>13.600000000000001</v>
      </c>
      <c r="AB48" s="30">
        <v>84</v>
      </c>
      <c r="AC48" s="28"/>
      <c r="AD48" s="28"/>
      <c r="AE48" s="28"/>
      <c r="AF48" s="28"/>
      <c r="AG48" s="28"/>
      <c r="AH48" s="95"/>
      <c r="AI48" s="96"/>
      <c r="AJ48" s="28"/>
      <c r="AK48" s="28"/>
      <c r="AL48" s="28"/>
      <c r="AM48" s="28"/>
      <c r="AN48" s="95"/>
      <c r="AO48" s="96"/>
      <c r="AP48" s="28"/>
      <c r="AQ48" s="28"/>
      <c r="AR48" s="28"/>
      <c r="AS48" s="28"/>
      <c r="AT48" s="95"/>
      <c r="AU48" s="96"/>
      <c r="AV48" s="20"/>
    </row>
    <row r="49" spans="1:48" ht="13.75" customHeight="1">
      <c r="A49" s="99">
        <v>37</v>
      </c>
      <c r="B49" s="91"/>
      <c r="C49" s="92" t="s">
        <v>147</v>
      </c>
      <c r="D49" s="93"/>
      <c r="E49" s="94"/>
      <c r="F49" s="26" t="s">
        <v>148</v>
      </c>
      <c r="G49" s="90" t="s">
        <v>40</v>
      </c>
      <c r="H49" s="91"/>
      <c r="I49" s="90" t="s">
        <v>41</v>
      </c>
      <c r="J49" s="91"/>
      <c r="K49" s="27" t="s">
        <v>42</v>
      </c>
      <c r="L49" s="27" t="s">
        <v>157</v>
      </c>
      <c r="M49" s="27" t="s">
        <v>157</v>
      </c>
      <c r="N49" s="113" t="s">
        <v>157</v>
      </c>
      <c r="O49" s="96"/>
      <c r="P49" s="27" t="s">
        <v>157</v>
      </c>
      <c r="Q49" s="27" t="s">
        <v>42</v>
      </c>
      <c r="R49" s="113" t="s">
        <v>157</v>
      </c>
      <c r="S49" s="96"/>
      <c r="T49" s="27" t="s">
        <v>42</v>
      </c>
      <c r="U49" s="27" t="s">
        <v>42</v>
      </c>
      <c r="V49" s="28"/>
      <c r="W49" s="30">
        <v>95</v>
      </c>
      <c r="X49" s="97" cm="1">
        <f t="array" ref="X49">W49+30</f>
        <v>125</v>
      </c>
      <c r="Y49" s="96"/>
      <c r="Z49" s="27" t="s">
        <v>154</v>
      </c>
      <c r="AA49" s="30" cm="1">
        <f t="array" ref="AA49">(X49/100)*40</f>
        <v>50</v>
      </c>
      <c r="AB49" s="30">
        <v>100</v>
      </c>
      <c r="AC49" s="28"/>
      <c r="AD49" s="28"/>
      <c r="AE49" s="28"/>
      <c r="AF49" s="28"/>
      <c r="AG49" s="28"/>
      <c r="AH49" s="95"/>
      <c r="AI49" s="96"/>
      <c r="AJ49" s="28"/>
      <c r="AK49" s="28"/>
      <c r="AL49" s="28"/>
      <c r="AM49" s="28"/>
      <c r="AN49" s="95"/>
      <c r="AO49" s="96"/>
      <c r="AP49" s="28"/>
      <c r="AQ49" s="28"/>
      <c r="AR49" s="28"/>
      <c r="AS49" s="28"/>
      <c r="AT49" s="95"/>
      <c r="AU49" s="96"/>
      <c r="AV49" s="20"/>
    </row>
    <row r="50" spans="1:48" ht="15" customHeight="1">
      <c r="A50" s="114"/>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c r="AA50" s="116"/>
      <c r="AB50" s="115"/>
      <c r="AC50" s="115"/>
      <c r="AD50" s="115"/>
      <c r="AE50" s="115"/>
      <c r="AF50" s="115"/>
      <c r="AG50" s="115"/>
      <c r="AH50" s="115"/>
      <c r="AI50" s="115"/>
      <c r="AJ50" s="115"/>
      <c r="AK50" s="115"/>
      <c r="AL50" s="115"/>
      <c r="AM50" s="115"/>
      <c r="AN50" s="115"/>
      <c r="AO50" s="115"/>
      <c r="AP50" s="115"/>
      <c r="AQ50" s="115"/>
      <c r="AR50" s="115"/>
      <c r="AS50" s="115"/>
      <c r="AT50" s="115"/>
      <c r="AU50" s="115"/>
      <c r="AV50" s="117"/>
    </row>
    <row r="51" spans="1:48" ht="15" customHeight="1">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58"/>
      <c r="AB51" s="104"/>
      <c r="AC51" s="104"/>
      <c r="AD51" s="104"/>
      <c r="AE51" s="104"/>
      <c r="AF51" s="104"/>
      <c r="AG51" s="104"/>
      <c r="AH51" s="104"/>
      <c r="AI51" s="104"/>
      <c r="AJ51" s="104"/>
      <c r="AK51" s="104"/>
      <c r="AL51" s="104"/>
      <c r="AM51" s="104"/>
      <c r="AN51" s="104"/>
      <c r="AO51" s="104"/>
      <c r="AP51" s="104"/>
      <c r="AQ51" s="104"/>
      <c r="AR51" s="104"/>
      <c r="AS51" s="104"/>
      <c r="AT51" s="104"/>
      <c r="AU51" s="104"/>
      <c r="AV51" s="105"/>
    </row>
    <row r="52" spans="1:48" ht="15" customHeight="1">
      <c r="A52" s="103"/>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58"/>
      <c r="AB52" s="104"/>
      <c r="AC52" s="104"/>
      <c r="AD52" s="104"/>
      <c r="AE52" s="104"/>
      <c r="AF52" s="104"/>
      <c r="AG52" s="104"/>
      <c r="AH52" s="104"/>
      <c r="AI52" s="104"/>
      <c r="AJ52" s="104"/>
      <c r="AK52" s="104"/>
      <c r="AL52" s="104"/>
      <c r="AM52" s="104"/>
      <c r="AN52" s="104"/>
      <c r="AO52" s="104"/>
      <c r="AP52" s="104"/>
      <c r="AQ52" s="104"/>
      <c r="AR52" s="104"/>
      <c r="AS52" s="104"/>
      <c r="AT52" s="104"/>
      <c r="AU52" s="104"/>
      <c r="AV52" s="105"/>
    </row>
    <row r="53" spans="1:48" ht="15" customHeight="1">
      <c r="A53" s="103"/>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58"/>
      <c r="AB53" s="104"/>
      <c r="AC53" s="104"/>
      <c r="AD53" s="104"/>
      <c r="AE53" s="104"/>
      <c r="AF53" s="104"/>
      <c r="AG53" s="104"/>
      <c r="AH53" s="104"/>
      <c r="AI53" s="104"/>
      <c r="AJ53" s="104"/>
      <c r="AK53" s="104"/>
      <c r="AL53" s="104"/>
      <c r="AM53" s="104"/>
      <c r="AN53" s="104"/>
      <c r="AO53" s="104"/>
      <c r="AP53" s="104"/>
      <c r="AQ53" s="104"/>
      <c r="AR53" s="104"/>
      <c r="AS53" s="104"/>
      <c r="AT53" s="104"/>
      <c r="AU53" s="104"/>
      <c r="AV53" s="105"/>
    </row>
    <row r="54" spans="1:48" ht="15" customHeight="1">
      <c r="A54" s="103"/>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58"/>
      <c r="AB54" s="104"/>
      <c r="AC54" s="104"/>
      <c r="AD54" s="104"/>
      <c r="AE54" s="104"/>
      <c r="AF54" s="104"/>
      <c r="AG54" s="104"/>
      <c r="AH54" s="104"/>
      <c r="AI54" s="104"/>
      <c r="AJ54" s="104"/>
      <c r="AK54" s="104"/>
      <c r="AL54" s="104"/>
      <c r="AM54" s="104"/>
      <c r="AN54" s="104"/>
      <c r="AO54" s="104"/>
      <c r="AP54" s="104"/>
      <c r="AQ54" s="104"/>
      <c r="AR54" s="104"/>
      <c r="AS54" s="104"/>
      <c r="AT54" s="104"/>
      <c r="AU54" s="104"/>
      <c r="AV54" s="105"/>
    </row>
    <row r="55" spans="1:48" ht="15" customHeight="1">
      <c r="A55" s="103"/>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58"/>
      <c r="AB55" s="104"/>
      <c r="AC55" s="104"/>
      <c r="AD55" s="104"/>
      <c r="AE55" s="104"/>
      <c r="AF55" s="104"/>
      <c r="AG55" s="104"/>
      <c r="AH55" s="104"/>
      <c r="AI55" s="104"/>
      <c r="AJ55" s="104"/>
      <c r="AK55" s="104"/>
      <c r="AL55" s="104"/>
      <c r="AM55" s="104"/>
      <c r="AN55" s="104"/>
      <c r="AO55" s="104"/>
      <c r="AP55" s="104"/>
      <c r="AQ55" s="104"/>
      <c r="AR55" s="104"/>
      <c r="AS55" s="104"/>
      <c r="AT55" s="104"/>
      <c r="AU55" s="104"/>
      <c r="AV55" s="105"/>
    </row>
    <row r="56" spans="1:48" ht="15" customHeight="1">
      <c r="A56" s="103"/>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58"/>
      <c r="AB56" s="104"/>
      <c r="AC56" s="104"/>
      <c r="AD56" s="104"/>
      <c r="AE56" s="104"/>
      <c r="AF56" s="104"/>
      <c r="AG56" s="104"/>
      <c r="AH56" s="104"/>
      <c r="AI56" s="104"/>
      <c r="AJ56" s="104"/>
      <c r="AK56" s="104"/>
      <c r="AL56" s="104"/>
      <c r="AM56" s="104"/>
      <c r="AN56" s="104"/>
      <c r="AO56" s="104"/>
      <c r="AP56" s="104"/>
      <c r="AQ56" s="104"/>
      <c r="AR56" s="104"/>
      <c r="AS56" s="104"/>
      <c r="AT56" s="104"/>
      <c r="AU56" s="104"/>
      <c r="AV56" s="105"/>
    </row>
    <row r="57" spans="1:48" ht="15" customHeight="1">
      <c r="A57" s="103"/>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58"/>
      <c r="AB57" s="104"/>
      <c r="AC57" s="104"/>
      <c r="AD57" s="104"/>
      <c r="AE57" s="104"/>
      <c r="AF57" s="104"/>
      <c r="AG57" s="104"/>
      <c r="AH57" s="104"/>
      <c r="AI57" s="104"/>
      <c r="AJ57" s="104"/>
      <c r="AK57" s="104"/>
      <c r="AL57" s="104"/>
      <c r="AM57" s="104"/>
      <c r="AN57" s="104"/>
      <c r="AO57" s="104"/>
      <c r="AP57" s="104"/>
      <c r="AQ57" s="104"/>
      <c r="AR57" s="104"/>
      <c r="AS57" s="104"/>
      <c r="AT57" s="104"/>
      <c r="AU57" s="104"/>
      <c r="AV57" s="105"/>
    </row>
    <row r="58" spans="1:48" ht="15" customHeight="1">
      <c r="A58" s="106"/>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62"/>
      <c r="AB58" s="107"/>
      <c r="AC58" s="107"/>
      <c r="AD58" s="107"/>
      <c r="AE58" s="107"/>
      <c r="AF58" s="107"/>
      <c r="AG58" s="107"/>
      <c r="AH58" s="107"/>
      <c r="AI58" s="107"/>
      <c r="AJ58" s="107"/>
      <c r="AK58" s="107"/>
      <c r="AL58" s="107"/>
      <c r="AM58" s="107"/>
      <c r="AN58" s="107"/>
      <c r="AO58" s="107"/>
      <c r="AP58" s="107"/>
      <c r="AQ58" s="107"/>
      <c r="AR58" s="107"/>
      <c r="AS58" s="107"/>
      <c r="AT58" s="107"/>
      <c r="AU58" s="107"/>
      <c r="AV58" s="108"/>
    </row>
    <row r="59" spans="1:48" ht="15" customHeight="1">
      <c r="A59" s="95"/>
      <c r="B59" s="96"/>
      <c r="C59" s="95"/>
      <c r="D59" s="96"/>
      <c r="E59" s="95"/>
      <c r="F59" s="96"/>
      <c r="G59" s="95"/>
      <c r="H59" s="96"/>
      <c r="I59" s="95"/>
      <c r="J59" s="96"/>
      <c r="K59" s="95"/>
      <c r="L59" s="96"/>
      <c r="M59" s="95"/>
      <c r="N59" s="96"/>
      <c r="O59" s="95"/>
      <c r="P59" s="96"/>
      <c r="Q59" s="95"/>
      <c r="R59" s="96"/>
      <c r="S59" s="95"/>
      <c r="T59" s="96"/>
      <c r="U59" s="95"/>
      <c r="V59" s="96"/>
      <c r="W59" s="95"/>
      <c r="X59" s="96"/>
      <c r="Y59" s="95"/>
      <c r="Z59" s="96"/>
      <c r="AA59" s="109"/>
      <c r="AB59" s="95"/>
      <c r="AC59" s="96"/>
      <c r="AD59" s="95"/>
      <c r="AE59" s="96"/>
      <c r="AF59" s="95"/>
      <c r="AG59" s="96"/>
      <c r="AH59" s="95"/>
      <c r="AI59" s="96"/>
      <c r="AJ59" s="95"/>
      <c r="AK59" s="96"/>
      <c r="AL59" s="95"/>
      <c r="AM59" s="96"/>
      <c r="AN59" s="95"/>
      <c r="AO59" s="96"/>
      <c r="AP59" s="95"/>
      <c r="AQ59" s="96"/>
      <c r="AR59" s="95"/>
      <c r="AS59" s="96"/>
      <c r="AT59" s="95"/>
      <c r="AU59" s="96"/>
      <c r="AV59" s="110"/>
    </row>
  </sheetData>
  <mergeCells count="428">
    <mergeCell ref="A58:AV58"/>
    <mergeCell ref="A59:AV59"/>
    <mergeCell ref="A12:B12"/>
    <mergeCell ref="C12:E12"/>
    <mergeCell ref="G12:H12"/>
    <mergeCell ref="I12:J12"/>
    <mergeCell ref="N12:O12"/>
    <mergeCell ref="R12:S12"/>
    <mergeCell ref="X12:Y12"/>
    <mergeCell ref="AH12:AI12"/>
    <mergeCell ref="AN12:AO12"/>
    <mergeCell ref="AT12:AU12"/>
    <mergeCell ref="A36:B36"/>
    <mergeCell ref="C36:E36"/>
    <mergeCell ref="G36:H36"/>
    <mergeCell ref="I36:J36"/>
    <mergeCell ref="N36:O36"/>
    <mergeCell ref="R36:S36"/>
    <mergeCell ref="X36:Y36"/>
    <mergeCell ref="AH36:AI36"/>
    <mergeCell ref="AN36:AO36"/>
    <mergeCell ref="AT36:AU36"/>
    <mergeCell ref="AT49:AU49"/>
    <mergeCell ref="A50:AV50"/>
    <mergeCell ref="A51:AV51"/>
    <mergeCell ref="A52:AV52"/>
    <mergeCell ref="A53:AV53"/>
    <mergeCell ref="A54:AV54"/>
    <mergeCell ref="A55:AV55"/>
    <mergeCell ref="A56:AV56"/>
    <mergeCell ref="A57:AV57"/>
    <mergeCell ref="A49:B49"/>
    <mergeCell ref="C49:E49"/>
    <mergeCell ref="G49:H49"/>
    <mergeCell ref="I49:J49"/>
    <mergeCell ref="N49:O49"/>
    <mergeCell ref="R49:S49"/>
    <mergeCell ref="X49:Y49"/>
    <mergeCell ref="AH49:AI49"/>
    <mergeCell ref="AN49:AO49"/>
    <mergeCell ref="AT47:AU47"/>
    <mergeCell ref="A48:B48"/>
    <mergeCell ref="C48:E48"/>
    <mergeCell ref="G48:H48"/>
    <mergeCell ref="I48:J48"/>
    <mergeCell ref="N48:O48"/>
    <mergeCell ref="R48:S48"/>
    <mergeCell ref="X48:Y48"/>
    <mergeCell ref="AH48:AI48"/>
    <mergeCell ref="AN48:AO48"/>
    <mergeCell ref="AT48:AU48"/>
    <mergeCell ref="A47:B47"/>
    <mergeCell ref="C47:E47"/>
    <mergeCell ref="G47:H47"/>
    <mergeCell ref="I47:J47"/>
    <mergeCell ref="N47:O47"/>
    <mergeCell ref="R47:S47"/>
    <mergeCell ref="X47:Y47"/>
    <mergeCell ref="AH47:AI47"/>
    <mergeCell ref="AN47:AO47"/>
    <mergeCell ref="AT45:AU45"/>
    <mergeCell ref="A46:B46"/>
    <mergeCell ref="C46:E46"/>
    <mergeCell ref="G46:H46"/>
    <mergeCell ref="I46:J46"/>
    <mergeCell ref="N46:O46"/>
    <mergeCell ref="R46:S46"/>
    <mergeCell ref="X46:Y46"/>
    <mergeCell ref="AH46:AI46"/>
    <mergeCell ref="AN46:AO46"/>
    <mergeCell ref="AT46:AU46"/>
    <mergeCell ref="A45:B45"/>
    <mergeCell ref="C45:E45"/>
    <mergeCell ref="G45:H45"/>
    <mergeCell ref="I45:J45"/>
    <mergeCell ref="N45:O45"/>
    <mergeCell ref="R45:S45"/>
    <mergeCell ref="X45:Y45"/>
    <mergeCell ref="AH45:AI45"/>
    <mergeCell ref="AN45:AO45"/>
    <mergeCell ref="AT43:AU43"/>
    <mergeCell ref="A44:B44"/>
    <mergeCell ref="C44:E44"/>
    <mergeCell ref="G44:H44"/>
    <mergeCell ref="I44:J44"/>
    <mergeCell ref="N44:O44"/>
    <mergeCell ref="R44:S44"/>
    <mergeCell ref="X44:Y44"/>
    <mergeCell ref="AH44:AI44"/>
    <mergeCell ref="AN44:AO44"/>
    <mergeCell ref="AT44:AU44"/>
    <mergeCell ref="A43:B43"/>
    <mergeCell ref="C43:E43"/>
    <mergeCell ref="G43:H43"/>
    <mergeCell ref="I43:J43"/>
    <mergeCell ref="N43:O43"/>
    <mergeCell ref="R43:S43"/>
    <mergeCell ref="X43:Y43"/>
    <mergeCell ref="AH43:AI43"/>
    <mergeCell ref="AN43:AO43"/>
    <mergeCell ref="AT41:AU41"/>
    <mergeCell ref="A42:B42"/>
    <mergeCell ref="C42:E42"/>
    <mergeCell ref="G42:H42"/>
    <mergeCell ref="I42:J42"/>
    <mergeCell ref="N42:O42"/>
    <mergeCell ref="R42:S42"/>
    <mergeCell ref="X42:Y42"/>
    <mergeCell ref="AH42:AI42"/>
    <mergeCell ref="AN42:AO42"/>
    <mergeCell ref="AT42:AU42"/>
    <mergeCell ref="A41:B41"/>
    <mergeCell ref="C41:E41"/>
    <mergeCell ref="G41:H41"/>
    <mergeCell ref="I41:J41"/>
    <mergeCell ref="N41:O41"/>
    <mergeCell ref="R41:S41"/>
    <mergeCell ref="X41:Y41"/>
    <mergeCell ref="AH41:AI41"/>
    <mergeCell ref="AN41:AO41"/>
    <mergeCell ref="AT39:AU39"/>
    <mergeCell ref="A40:B40"/>
    <mergeCell ref="C40:E40"/>
    <mergeCell ref="G40:H40"/>
    <mergeCell ref="I40:J40"/>
    <mergeCell ref="N40:O40"/>
    <mergeCell ref="R40:S40"/>
    <mergeCell ref="X40:Y40"/>
    <mergeCell ref="AH40:AI40"/>
    <mergeCell ref="AN40:AO40"/>
    <mergeCell ref="AT40:AU40"/>
    <mergeCell ref="A39:B39"/>
    <mergeCell ref="C39:E39"/>
    <mergeCell ref="G39:H39"/>
    <mergeCell ref="I39:J39"/>
    <mergeCell ref="N39:O39"/>
    <mergeCell ref="R39:S39"/>
    <mergeCell ref="X39:Y39"/>
    <mergeCell ref="AH39:AI39"/>
    <mergeCell ref="AN39:AO39"/>
    <mergeCell ref="AT37:AU37"/>
    <mergeCell ref="A38:B38"/>
    <mergeCell ref="C38:E38"/>
    <mergeCell ref="G38:H38"/>
    <mergeCell ref="I38:J38"/>
    <mergeCell ref="N38:O38"/>
    <mergeCell ref="R38:S38"/>
    <mergeCell ref="X38:Y38"/>
    <mergeCell ref="AH38:AI38"/>
    <mergeCell ref="AN38:AO38"/>
    <mergeCell ref="AT38:AU38"/>
    <mergeCell ref="A37:B37"/>
    <mergeCell ref="C37:E37"/>
    <mergeCell ref="G37:H37"/>
    <mergeCell ref="I37:J37"/>
    <mergeCell ref="N37:O37"/>
    <mergeCell ref="R37:S37"/>
    <mergeCell ref="X37:Y37"/>
    <mergeCell ref="AH37:AI37"/>
    <mergeCell ref="AN37:AO37"/>
    <mergeCell ref="AT34:AU34"/>
    <mergeCell ref="A35:B35"/>
    <mergeCell ref="C35:E35"/>
    <mergeCell ref="G35:H35"/>
    <mergeCell ref="I35:J35"/>
    <mergeCell ref="N35:O35"/>
    <mergeCell ref="R35:S35"/>
    <mergeCell ref="X35:Y35"/>
    <mergeCell ref="AH35:AI35"/>
    <mergeCell ref="AN35:AO35"/>
    <mergeCell ref="AT35:AU35"/>
    <mergeCell ref="A34:B34"/>
    <mergeCell ref="C34:E34"/>
    <mergeCell ref="G34:H34"/>
    <mergeCell ref="I34:J34"/>
    <mergeCell ref="N34:O34"/>
    <mergeCell ref="R34:S34"/>
    <mergeCell ref="X34:Y34"/>
    <mergeCell ref="AH34:AI34"/>
    <mergeCell ref="AN34:AO34"/>
    <mergeCell ref="AT32:AU32"/>
    <mergeCell ref="A33:B33"/>
    <mergeCell ref="C33:E33"/>
    <mergeCell ref="G33:H33"/>
    <mergeCell ref="I33:J33"/>
    <mergeCell ref="N33:O33"/>
    <mergeCell ref="R33:S33"/>
    <mergeCell ref="X33:Y33"/>
    <mergeCell ref="AH33:AI33"/>
    <mergeCell ref="AN33:AO33"/>
    <mergeCell ref="AT33:AU33"/>
    <mergeCell ref="A32:B32"/>
    <mergeCell ref="C32:E32"/>
    <mergeCell ref="G32:H32"/>
    <mergeCell ref="I32:J32"/>
    <mergeCell ref="N32:O32"/>
    <mergeCell ref="R32:S32"/>
    <mergeCell ref="X32:Y32"/>
    <mergeCell ref="AH32:AI32"/>
    <mergeCell ref="AN32:AO32"/>
    <mergeCell ref="AT30:AU30"/>
    <mergeCell ref="A31:B31"/>
    <mergeCell ref="C31:E31"/>
    <mergeCell ref="G31:H31"/>
    <mergeCell ref="I31:J31"/>
    <mergeCell ref="N31:O31"/>
    <mergeCell ref="R31:S31"/>
    <mergeCell ref="X31:Y31"/>
    <mergeCell ref="AH31:AI31"/>
    <mergeCell ref="AN31:AO31"/>
    <mergeCell ref="AT31:AU31"/>
    <mergeCell ref="A30:B30"/>
    <mergeCell ref="C30:E30"/>
    <mergeCell ref="G30:H30"/>
    <mergeCell ref="I30:J30"/>
    <mergeCell ref="N30:O30"/>
    <mergeCell ref="R30:S30"/>
    <mergeCell ref="X30:Y30"/>
    <mergeCell ref="AH30:AI30"/>
    <mergeCell ref="AN30:AO30"/>
    <mergeCell ref="AT28:AU28"/>
    <mergeCell ref="A29:B29"/>
    <mergeCell ref="C29:E29"/>
    <mergeCell ref="G29:H29"/>
    <mergeCell ref="I29:J29"/>
    <mergeCell ref="N29:O29"/>
    <mergeCell ref="R29:S29"/>
    <mergeCell ref="X29:Y29"/>
    <mergeCell ref="AH29:AI29"/>
    <mergeCell ref="AN29:AO29"/>
    <mergeCell ref="AT29:AU29"/>
    <mergeCell ref="A28:B28"/>
    <mergeCell ref="C28:E28"/>
    <mergeCell ref="G28:H28"/>
    <mergeCell ref="I28:J28"/>
    <mergeCell ref="N28:O28"/>
    <mergeCell ref="R28:S28"/>
    <mergeCell ref="X28:Y28"/>
    <mergeCell ref="AH28:AI28"/>
    <mergeCell ref="AN28:AO28"/>
    <mergeCell ref="AT26:AU26"/>
    <mergeCell ref="A27:B27"/>
    <mergeCell ref="C27:E27"/>
    <mergeCell ref="G27:H27"/>
    <mergeCell ref="I27:J27"/>
    <mergeCell ref="N27:O27"/>
    <mergeCell ref="R27:S27"/>
    <mergeCell ref="X27:Y27"/>
    <mergeCell ref="AH27:AI27"/>
    <mergeCell ref="AN27:AO27"/>
    <mergeCell ref="AT27:AU27"/>
    <mergeCell ref="A26:B26"/>
    <mergeCell ref="C26:E26"/>
    <mergeCell ref="G26:H26"/>
    <mergeCell ref="I26:J26"/>
    <mergeCell ref="N26:O26"/>
    <mergeCell ref="R26:S26"/>
    <mergeCell ref="X26:Y26"/>
    <mergeCell ref="AH26:AI26"/>
    <mergeCell ref="AN26:AO26"/>
    <mergeCell ref="AT24:AU24"/>
    <mergeCell ref="A25:B25"/>
    <mergeCell ref="C25:E25"/>
    <mergeCell ref="G25:H25"/>
    <mergeCell ref="I25:J25"/>
    <mergeCell ref="N25:O25"/>
    <mergeCell ref="R25:S25"/>
    <mergeCell ref="X25:Y25"/>
    <mergeCell ref="AH25:AI25"/>
    <mergeCell ref="AN25:AO25"/>
    <mergeCell ref="AT25:AU25"/>
    <mergeCell ref="A24:B24"/>
    <mergeCell ref="C24:E24"/>
    <mergeCell ref="G24:H24"/>
    <mergeCell ref="I24:J24"/>
    <mergeCell ref="N24:O24"/>
    <mergeCell ref="R24:S24"/>
    <mergeCell ref="X24:Y24"/>
    <mergeCell ref="AH24:AI24"/>
    <mergeCell ref="AN24:AO24"/>
    <mergeCell ref="AT22:AU22"/>
    <mergeCell ref="A23:B23"/>
    <mergeCell ref="C23:E23"/>
    <mergeCell ref="G23:H23"/>
    <mergeCell ref="I23:J23"/>
    <mergeCell ref="N23:O23"/>
    <mergeCell ref="R23:S23"/>
    <mergeCell ref="X23:Y23"/>
    <mergeCell ref="AH23:AI23"/>
    <mergeCell ref="AN23:AO23"/>
    <mergeCell ref="AT23:AU23"/>
    <mergeCell ref="A22:B22"/>
    <mergeCell ref="C22:E22"/>
    <mergeCell ref="G22:H22"/>
    <mergeCell ref="I22:J22"/>
    <mergeCell ref="N22:O22"/>
    <mergeCell ref="R22:S22"/>
    <mergeCell ref="X22:Y22"/>
    <mergeCell ref="AH22:AI22"/>
    <mergeCell ref="AN22:AO22"/>
    <mergeCell ref="AT20:AU20"/>
    <mergeCell ref="A21:B21"/>
    <mergeCell ref="C21:E21"/>
    <mergeCell ref="G21:H21"/>
    <mergeCell ref="I21:J21"/>
    <mergeCell ref="N21:O21"/>
    <mergeCell ref="R21:S21"/>
    <mergeCell ref="X21:Y21"/>
    <mergeCell ref="AH21:AI21"/>
    <mergeCell ref="AN21:AO21"/>
    <mergeCell ref="AT21:AU21"/>
    <mergeCell ref="A20:B20"/>
    <mergeCell ref="C20:E20"/>
    <mergeCell ref="G20:H20"/>
    <mergeCell ref="I20:J20"/>
    <mergeCell ref="N20:O20"/>
    <mergeCell ref="R20:S20"/>
    <mergeCell ref="X20:Y20"/>
    <mergeCell ref="AH20:AI20"/>
    <mergeCell ref="AN20:AO20"/>
    <mergeCell ref="AT18:AU18"/>
    <mergeCell ref="A19:B19"/>
    <mergeCell ref="C19:E19"/>
    <mergeCell ref="G19:H19"/>
    <mergeCell ref="I19:J19"/>
    <mergeCell ref="N19:O19"/>
    <mergeCell ref="R19:S19"/>
    <mergeCell ref="X19:Y19"/>
    <mergeCell ref="AH19:AI19"/>
    <mergeCell ref="AN19:AO19"/>
    <mergeCell ref="AT19:AU19"/>
    <mergeCell ref="A18:B18"/>
    <mergeCell ref="C18:E18"/>
    <mergeCell ref="G18:H18"/>
    <mergeCell ref="I18:J18"/>
    <mergeCell ref="N18:O18"/>
    <mergeCell ref="R18:S18"/>
    <mergeCell ref="X18:Y18"/>
    <mergeCell ref="AH18:AI18"/>
    <mergeCell ref="AN18:AO18"/>
    <mergeCell ref="AT16:AU16"/>
    <mergeCell ref="A17:B17"/>
    <mergeCell ref="C17:E17"/>
    <mergeCell ref="G17:H17"/>
    <mergeCell ref="I17:J17"/>
    <mergeCell ref="N17:O17"/>
    <mergeCell ref="R17:S17"/>
    <mergeCell ref="X17:Y17"/>
    <mergeCell ref="AH17:AI17"/>
    <mergeCell ref="AN17:AO17"/>
    <mergeCell ref="AT17:AU17"/>
    <mergeCell ref="A16:B16"/>
    <mergeCell ref="C16:E16"/>
    <mergeCell ref="G16:H16"/>
    <mergeCell ref="I16:J16"/>
    <mergeCell ref="N16:O16"/>
    <mergeCell ref="R16:S16"/>
    <mergeCell ref="X16:Y16"/>
    <mergeCell ref="AH16:AI16"/>
    <mergeCell ref="AN16:AO16"/>
    <mergeCell ref="AT14:AU14"/>
    <mergeCell ref="A15:B15"/>
    <mergeCell ref="C15:E15"/>
    <mergeCell ref="G15:H15"/>
    <mergeCell ref="I15:J15"/>
    <mergeCell ref="N15:O15"/>
    <mergeCell ref="R15:S15"/>
    <mergeCell ref="X15:Y15"/>
    <mergeCell ref="AH15:AI15"/>
    <mergeCell ref="AN15:AO15"/>
    <mergeCell ref="AT15:AU15"/>
    <mergeCell ref="A14:B14"/>
    <mergeCell ref="C14:E14"/>
    <mergeCell ref="G14:H14"/>
    <mergeCell ref="I14:J14"/>
    <mergeCell ref="N14:O14"/>
    <mergeCell ref="R14:S14"/>
    <mergeCell ref="X14:Y14"/>
    <mergeCell ref="AH14:AI14"/>
    <mergeCell ref="AN14:AO14"/>
    <mergeCell ref="A11:B11"/>
    <mergeCell ref="C11:E11"/>
    <mergeCell ref="G11:H11"/>
    <mergeCell ref="I11:J11"/>
    <mergeCell ref="K11:AU11"/>
    <mergeCell ref="A13:B13"/>
    <mergeCell ref="C13:E13"/>
    <mergeCell ref="G13:H13"/>
    <mergeCell ref="I13:J13"/>
    <mergeCell ref="N13:O13"/>
    <mergeCell ref="R13:S13"/>
    <mergeCell ref="X13:Y13"/>
    <mergeCell ref="AH13:AI13"/>
    <mergeCell ref="AN13:AO13"/>
    <mergeCell ref="AT13:AU13"/>
    <mergeCell ref="A8:B8"/>
    <mergeCell ref="R8:X8"/>
    <mergeCell ref="E8:Q8"/>
    <mergeCell ref="Y8:AU8"/>
    <mergeCell ref="A9:B9"/>
    <mergeCell ref="R9:X9"/>
    <mergeCell ref="E9:Q9"/>
    <mergeCell ref="Y9:AU9"/>
    <mergeCell ref="A10:B10"/>
    <mergeCell ref="R10:X10"/>
    <mergeCell ref="E10:Q10"/>
    <mergeCell ref="Y10:AU10"/>
    <mergeCell ref="B6:G6"/>
    <mergeCell ref="H6:I6"/>
    <mergeCell ref="J6:N6"/>
    <mergeCell ref="O6:U6"/>
    <mergeCell ref="V6:AB6"/>
    <mergeCell ref="AC6:AH6"/>
    <mergeCell ref="AI6:AN6"/>
    <mergeCell ref="AO6:AT6"/>
    <mergeCell ref="A7:AV7"/>
    <mergeCell ref="A1:A4"/>
    <mergeCell ref="B1:G1"/>
    <mergeCell ref="H1:I4"/>
    <mergeCell ref="J1:AT4"/>
    <mergeCell ref="B5:G5"/>
    <mergeCell ref="H5:I5"/>
    <mergeCell ref="J5:N5"/>
    <mergeCell ref="O5:U5"/>
    <mergeCell ref="V5:AB5"/>
    <mergeCell ref="AC5:AH5"/>
    <mergeCell ref="AI5:AN5"/>
    <mergeCell ref="AO5:AT5"/>
  </mergeCells>
  <pageMargins left="0.7" right="0.7" top="0.75" bottom="0.75" header="0.3" footer="0.3"/>
  <pageSetup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V59"/>
  <sheetViews>
    <sheetView showGridLines="0" topLeftCell="A14" zoomScale="130" zoomScaleNormal="130" workbookViewId="0">
      <selection activeCell="C36" sqref="C36:E36"/>
    </sheetView>
  </sheetViews>
  <sheetFormatPr baseColWidth="10" defaultColWidth="8.83203125" defaultRowHeight="15.5" customHeight="1"/>
  <cols>
    <col min="1" max="2" width="3" style="5" customWidth="1"/>
    <col min="3" max="3" width="14.5" style="5" customWidth="1"/>
    <col min="4" max="4" width="16.83203125" style="5" customWidth="1"/>
    <col min="5" max="5" width="1.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9.1640625" style="5" customWidth="1"/>
    <col min="12" max="12" width="6.33203125" style="5" customWidth="1"/>
    <col min="13" max="13" width="7.6640625" style="5" customWidth="1"/>
    <col min="14" max="14" width="4" style="5" customWidth="1"/>
    <col min="15" max="15" width="2.33203125" style="5" customWidth="1"/>
    <col min="16" max="16" width="8.1640625" style="5" customWidth="1"/>
    <col min="17" max="17" width="4.6640625" style="5" customWidth="1"/>
    <col min="18" max="18" width="1.33203125" style="5" customWidth="1"/>
    <col min="19" max="19" width="5.33203125" style="5" customWidth="1"/>
    <col min="20" max="20" width="4.1640625" style="5" customWidth="1"/>
    <col min="21" max="21" width="4.6640625" style="5" customWidth="1"/>
    <col min="22" max="22" width="6.83203125" style="5" customWidth="1"/>
    <col min="23" max="23" width="10.1640625" style="5" customWidth="1"/>
    <col min="24" max="24" width="1.5" style="5" customWidth="1"/>
    <col min="25" max="25" width="5.83203125" style="5" customWidth="1"/>
    <col min="26" max="26" width="8.33203125" style="5" bestFit="1" customWidth="1"/>
    <col min="27" max="27" width="7.1640625" style="5" customWidth="1"/>
    <col min="28" max="28" width="7.6640625" style="5" customWidth="1"/>
    <col min="29" max="29" width="5.33203125" style="5" customWidth="1"/>
    <col min="30" max="30" width="2.33203125" style="5" customWidth="1"/>
    <col min="31" max="31" width="3" style="5" customWidth="1"/>
    <col min="32" max="33" width="2.33203125" style="5" customWidth="1"/>
    <col min="34" max="34" width="1.33203125" style="5" customWidth="1"/>
    <col min="35" max="35" width="1.5" style="5" customWidth="1"/>
    <col min="36" max="36" width="3" style="5" customWidth="1"/>
    <col min="37" max="39" width="2.33203125" style="5" customWidth="1"/>
    <col min="40" max="41" width="1.5" style="5" customWidth="1"/>
    <col min="42" max="43" width="2.33203125" style="5" customWidth="1"/>
    <col min="44" max="44" width="3" style="5" customWidth="1"/>
    <col min="45" max="45" width="2.33203125" style="5" customWidth="1"/>
    <col min="46" max="46" width="1.5" style="5" customWidth="1"/>
    <col min="47" max="48" width="1.33203125" style="5" customWidth="1"/>
    <col min="49" max="49" width="8.83203125" style="5" customWidth="1"/>
    <col min="50" max="16384" width="8.83203125" style="5"/>
  </cols>
  <sheetData>
    <row r="1" spans="1:48" ht="13.5" customHeight="1">
      <c r="A1" s="42"/>
      <c r="B1" s="45"/>
      <c r="C1" s="46"/>
      <c r="D1" s="46"/>
      <c r="E1" s="46"/>
      <c r="F1" s="46"/>
      <c r="G1" s="47"/>
      <c r="H1" s="45"/>
      <c r="I1" s="47"/>
      <c r="J1" s="52" t="s">
        <v>6</v>
      </c>
      <c r="K1" s="53"/>
      <c r="L1" s="53"/>
      <c r="M1" s="53"/>
      <c r="N1" s="53"/>
      <c r="O1" s="53"/>
      <c r="P1" s="53"/>
      <c r="Q1" s="53"/>
      <c r="R1" s="53"/>
      <c r="S1" s="53"/>
      <c r="T1" s="53"/>
      <c r="U1" s="53"/>
      <c r="V1" s="53"/>
      <c r="W1" s="53"/>
      <c r="X1" s="53"/>
      <c r="Y1" s="53"/>
      <c r="Z1" s="53"/>
      <c r="AA1" s="54"/>
      <c r="AB1" s="53"/>
      <c r="AC1" s="53"/>
      <c r="AD1" s="53"/>
      <c r="AE1" s="53"/>
      <c r="AF1" s="53"/>
      <c r="AG1" s="53"/>
      <c r="AH1" s="53"/>
      <c r="AI1" s="53"/>
      <c r="AJ1" s="53"/>
      <c r="AK1" s="53"/>
      <c r="AL1" s="53"/>
      <c r="AM1" s="53"/>
      <c r="AN1" s="53"/>
      <c r="AO1" s="53"/>
      <c r="AP1" s="53"/>
      <c r="AQ1" s="53"/>
      <c r="AR1" s="53"/>
      <c r="AS1" s="53"/>
      <c r="AT1" s="55"/>
      <c r="AU1" s="6"/>
      <c r="AV1" s="7"/>
    </row>
    <row r="2" spans="1:48" ht="15" customHeight="1">
      <c r="A2" s="43"/>
      <c r="B2" s="8"/>
      <c r="C2" s="9"/>
      <c r="D2" s="9"/>
      <c r="E2" s="9"/>
      <c r="F2" s="9"/>
      <c r="G2" s="10"/>
      <c r="H2" s="48"/>
      <c r="I2" s="49"/>
      <c r="J2" s="56"/>
      <c r="K2" s="57"/>
      <c r="L2" s="57"/>
      <c r="M2" s="57"/>
      <c r="N2" s="57"/>
      <c r="O2" s="57"/>
      <c r="P2" s="57"/>
      <c r="Q2" s="57"/>
      <c r="R2" s="57"/>
      <c r="S2" s="57"/>
      <c r="T2" s="57"/>
      <c r="U2" s="57"/>
      <c r="V2" s="57"/>
      <c r="W2" s="57"/>
      <c r="X2" s="57"/>
      <c r="Y2" s="57"/>
      <c r="Z2" s="57"/>
      <c r="AA2" s="58"/>
      <c r="AB2" s="57"/>
      <c r="AC2" s="57"/>
      <c r="AD2" s="57"/>
      <c r="AE2" s="57"/>
      <c r="AF2" s="57"/>
      <c r="AG2" s="57"/>
      <c r="AH2" s="57"/>
      <c r="AI2" s="57"/>
      <c r="AJ2" s="57"/>
      <c r="AK2" s="57"/>
      <c r="AL2" s="57"/>
      <c r="AM2" s="57"/>
      <c r="AN2" s="57"/>
      <c r="AO2" s="57"/>
      <c r="AP2" s="57"/>
      <c r="AQ2" s="57"/>
      <c r="AR2" s="57"/>
      <c r="AS2" s="57"/>
      <c r="AT2" s="59"/>
      <c r="AU2" s="11"/>
      <c r="AV2" s="12"/>
    </row>
    <row r="3" spans="1:48" ht="15" customHeight="1">
      <c r="A3" s="43"/>
      <c r="B3" s="8"/>
      <c r="C3" s="9"/>
      <c r="D3" s="9"/>
      <c r="E3" s="9"/>
      <c r="F3" s="9"/>
      <c r="G3" s="10"/>
      <c r="H3" s="48"/>
      <c r="I3" s="49"/>
      <c r="J3" s="56"/>
      <c r="K3" s="57"/>
      <c r="L3" s="57"/>
      <c r="M3" s="57"/>
      <c r="N3" s="57"/>
      <c r="O3" s="57"/>
      <c r="P3" s="57"/>
      <c r="Q3" s="57"/>
      <c r="R3" s="57"/>
      <c r="S3" s="57"/>
      <c r="T3" s="57"/>
      <c r="U3" s="57"/>
      <c r="V3" s="57"/>
      <c r="W3" s="57"/>
      <c r="X3" s="57"/>
      <c r="Y3" s="57"/>
      <c r="Z3" s="57"/>
      <c r="AA3" s="58"/>
      <c r="AB3" s="57"/>
      <c r="AC3" s="57"/>
      <c r="AD3" s="57"/>
      <c r="AE3" s="57"/>
      <c r="AF3" s="57"/>
      <c r="AG3" s="57"/>
      <c r="AH3" s="57"/>
      <c r="AI3" s="57"/>
      <c r="AJ3" s="57"/>
      <c r="AK3" s="57"/>
      <c r="AL3" s="57"/>
      <c r="AM3" s="57"/>
      <c r="AN3" s="57"/>
      <c r="AO3" s="57"/>
      <c r="AP3" s="57"/>
      <c r="AQ3" s="57"/>
      <c r="AR3" s="57"/>
      <c r="AS3" s="57"/>
      <c r="AT3" s="59"/>
      <c r="AU3" s="11"/>
      <c r="AV3" s="12"/>
    </row>
    <row r="4" spans="1:48" ht="15" customHeight="1">
      <c r="A4" s="44"/>
      <c r="B4" s="13"/>
      <c r="C4" s="14"/>
      <c r="D4" s="14"/>
      <c r="E4" s="14"/>
      <c r="F4" s="14"/>
      <c r="G4" s="15"/>
      <c r="H4" s="50"/>
      <c r="I4" s="51"/>
      <c r="J4" s="60"/>
      <c r="K4" s="61"/>
      <c r="L4" s="61"/>
      <c r="M4" s="61"/>
      <c r="N4" s="61"/>
      <c r="O4" s="61"/>
      <c r="P4" s="61"/>
      <c r="Q4" s="61"/>
      <c r="R4" s="61"/>
      <c r="S4" s="61"/>
      <c r="T4" s="61"/>
      <c r="U4" s="61"/>
      <c r="V4" s="61"/>
      <c r="W4" s="61"/>
      <c r="X4" s="61"/>
      <c r="Y4" s="61"/>
      <c r="Z4" s="61"/>
      <c r="AA4" s="62"/>
      <c r="AB4" s="61"/>
      <c r="AC4" s="61"/>
      <c r="AD4" s="61"/>
      <c r="AE4" s="61"/>
      <c r="AF4" s="61"/>
      <c r="AG4" s="61"/>
      <c r="AH4" s="61"/>
      <c r="AI4" s="61"/>
      <c r="AJ4" s="61"/>
      <c r="AK4" s="61"/>
      <c r="AL4" s="61"/>
      <c r="AM4" s="61"/>
      <c r="AN4" s="61"/>
      <c r="AO4" s="61"/>
      <c r="AP4" s="61"/>
      <c r="AQ4" s="61"/>
      <c r="AR4" s="61"/>
      <c r="AS4" s="61"/>
      <c r="AT4" s="63"/>
      <c r="AU4" s="11"/>
      <c r="AV4" s="12"/>
    </row>
    <row r="5" spans="1:48" ht="13.75" customHeight="1">
      <c r="A5" s="16"/>
      <c r="B5" s="64" t="s">
        <v>7</v>
      </c>
      <c r="C5" s="65"/>
      <c r="D5" s="65"/>
      <c r="E5" s="65"/>
      <c r="F5" s="65"/>
      <c r="G5" s="66"/>
      <c r="H5" s="67" t="s">
        <v>8</v>
      </c>
      <c r="I5" s="66"/>
      <c r="J5" s="67" t="s">
        <v>9</v>
      </c>
      <c r="K5" s="65"/>
      <c r="L5" s="65"/>
      <c r="M5" s="65"/>
      <c r="N5" s="66"/>
      <c r="O5" s="67" t="s">
        <v>10</v>
      </c>
      <c r="P5" s="65"/>
      <c r="Q5" s="65"/>
      <c r="R5" s="65"/>
      <c r="S5" s="65"/>
      <c r="T5" s="65"/>
      <c r="U5" s="66"/>
      <c r="V5" s="67" t="s">
        <v>11</v>
      </c>
      <c r="W5" s="65"/>
      <c r="X5" s="65"/>
      <c r="Y5" s="65"/>
      <c r="Z5" s="65"/>
      <c r="AA5" s="68"/>
      <c r="AB5" s="66"/>
      <c r="AC5" s="67" t="s">
        <v>12</v>
      </c>
      <c r="AD5" s="65"/>
      <c r="AE5" s="65"/>
      <c r="AF5" s="65"/>
      <c r="AG5" s="65"/>
      <c r="AH5" s="66"/>
      <c r="AI5" s="67" t="s">
        <v>13</v>
      </c>
      <c r="AJ5" s="65"/>
      <c r="AK5" s="65"/>
      <c r="AL5" s="65"/>
      <c r="AM5" s="65"/>
      <c r="AN5" s="66"/>
      <c r="AO5" s="67" t="s">
        <v>14</v>
      </c>
      <c r="AP5" s="65"/>
      <c r="AQ5" s="65"/>
      <c r="AR5" s="65"/>
      <c r="AS5" s="65"/>
      <c r="AT5" s="69"/>
      <c r="AU5" s="17"/>
      <c r="AV5" s="12"/>
    </row>
    <row r="6" spans="1:48" ht="13.75" customHeight="1">
      <c r="A6" s="16"/>
      <c r="B6" s="70" t="s">
        <v>15</v>
      </c>
      <c r="C6" s="71"/>
      <c r="D6" s="71"/>
      <c r="E6" s="71"/>
      <c r="F6" s="71"/>
      <c r="G6" s="72"/>
      <c r="H6" s="73" t="s">
        <v>16</v>
      </c>
      <c r="I6" s="72"/>
      <c r="J6" s="73" t="s">
        <v>17</v>
      </c>
      <c r="K6" s="71"/>
      <c r="L6" s="71"/>
      <c r="M6" s="71"/>
      <c r="N6" s="72"/>
      <c r="O6" s="73" t="s">
        <v>18</v>
      </c>
      <c r="P6" s="71"/>
      <c r="Q6" s="71"/>
      <c r="R6" s="71"/>
      <c r="S6" s="71"/>
      <c r="T6" s="71"/>
      <c r="U6" s="72"/>
      <c r="V6" s="73" t="s">
        <v>19</v>
      </c>
      <c r="W6" s="71"/>
      <c r="X6" s="71"/>
      <c r="Y6" s="71"/>
      <c r="Z6" s="71"/>
      <c r="AA6" s="68"/>
      <c r="AB6" s="72"/>
      <c r="AC6" s="73" t="s">
        <v>20</v>
      </c>
      <c r="AD6" s="71"/>
      <c r="AE6" s="71"/>
      <c r="AF6" s="71"/>
      <c r="AG6" s="71"/>
      <c r="AH6" s="72"/>
      <c r="AI6" s="73" t="s">
        <v>21</v>
      </c>
      <c r="AJ6" s="71"/>
      <c r="AK6" s="71"/>
      <c r="AL6" s="71"/>
      <c r="AM6" s="71"/>
      <c r="AN6" s="72"/>
      <c r="AO6" s="73" t="s">
        <v>22</v>
      </c>
      <c r="AP6" s="71"/>
      <c r="AQ6" s="71"/>
      <c r="AR6" s="71"/>
      <c r="AS6" s="71"/>
      <c r="AT6" s="74"/>
      <c r="AU6" s="17"/>
      <c r="AV6" s="12"/>
    </row>
    <row r="7" spans="1:48" ht="15" customHeight="1">
      <c r="A7" s="75"/>
      <c r="B7" s="76"/>
      <c r="C7" s="77"/>
      <c r="D7" s="77"/>
      <c r="E7" s="77"/>
      <c r="F7" s="77"/>
      <c r="G7" s="77"/>
      <c r="H7" s="77"/>
      <c r="I7" s="77"/>
      <c r="J7" s="77"/>
      <c r="K7" s="77"/>
      <c r="L7" s="77"/>
      <c r="M7" s="77"/>
      <c r="N7" s="77"/>
      <c r="O7" s="77"/>
      <c r="P7" s="77"/>
      <c r="Q7" s="77"/>
      <c r="R7" s="77"/>
      <c r="S7" s="77"/>
      <c r="T7" s="77"/>
      <c r="U7" s="77"/>
      <c r="V7" s="77"/>
      <c r="W7" s="77"/>
      <c r="X7" s="77"/>
      <c r="Y7" s="77"/>
      <c r="Z7" s="77"/>
      <c r="AA7" s="68"/>
      <c r="AB7" s="77"/>
      <c r="AC7" s="77"/>
      <c r="AD7" s="77"/>
      <c r="AE7" s="77"/>
      <c r="AF7" s="77"/>
      <c r="AG7" s="77"/>
      <c r="AH7" s="77"/>
      <c r="AI7" s="77"/>
      <c r="AJ7" s="77"/>
      <c r="AK7" s="77"/>
      <c r="AL7" s="77"/>
      <c r="AM7" s="77"/>
      <c r="AN7" s="77"/>
      <c r="AO7" s="77"/>
      <c r="AP7" s="77"/>
      <c r="AQ7" s="77"/>
      <c r="AR7" s="77"/>
      <c r="AS7" s="77"/>
      <c r="AT7" s="77"/>
      <c r="AU7" s="78"/>
      <c r="AV7" s="79"/>
    </row>
    <row r="8" spans="1:48" ht="13.75" customHeight="1">
      <c r="A8" s="80"/>
      <c r="B8" s="81"/>
      <c r="C8" s="18" t="s">
        <v>24</v>
      </c>
      <c r="D8" s="19" t="s">
        <v>25</v>
      </c>
      <c r="E8" s="67" t="s">
        <v>26</v>
      </c>
      <c r="F8" s="65"/>
      <c r="G8" s="65"/>
      <c r="H8" s="65"/>
      <c r="I8" s="65"/>
      <c r="J8" s="65"/>
      <c r="K8" s="65"/>
      <c r="L8" s="65"/>
      <c r="M8" s="65"/>
      <c r="N8" s="65"/>
      <c r="O8" s="65"/>
      <c r="P8" s="65"/>
      <c r="Q8" s="65"/>
      <c r="R8" s="65"/>
      <c r="S8" s="65"/>
      <c r="T8" s="65"/>
      <c r="U8" s="65"/>
      <c r="V8" s="65"/>
      <c r="W8" s="65"/>
      <c r="X8" s="66"/>
      <c r="Y8" s="67" t="s">
        <v>27</v>
      </c>
      <c r="Z8" s="65"/>
      <c r="AA8" s="68"/>
      <c r="AB8" s="65"/>
      <c r="AC8" s="68"/>
      <c r="AD8" s="65"/>
      <c r="AE8" s="65"/>
      <c r="AF8" s="65"/>
      <c r="AG8" s="65"/>
      <c r="AH8" s="65"/>
      <c r="AI8" s="65"/>
      <c r="AJ8" s="65"/>
      <c r="AK8" s="65"/>
      <c r="AL8" s="65"/>
      <c r="AM8" s="65"/>
      <c r="AN8" s="65"/>
      <c r="AO8" s="65"/>
      <c r="AP8" s="65"/>
      <c r="AQ8" s="65"/>
      <c r="AR8" s="65"/>
      <c r="AS8" s="65"/>
      <c r="AT8" s="65"/>
      <c r="AU8" s="69"/>
      <c r="AV8" s="20"/>
    </row>
    <row r="9" spans="1:48" ht="13.75" customHeight="1">
      <c r="A9" s="80"/>
      <c r="B9" s="81"/>
      <c r="C9" s="21" t="s">
        <v>28</v>
      </c>
      <c r="D9" s="22" t="s">
        <v>29</v>
      </c>
      <c r="E9" s="73" t="s">
        <v>30</v>
      </c>
      <c r="F9" s="71"/>
      <c r="G9" s="71"/>
      <c r="H9" s="71"/>
      <c r="I9" s="71"/>
      <c r="J9" s="71"/>
      <c r="K9" s="71"/>
      <c r="L9" s="71"/>
      <c r="M9" s="71"/>
      <c r="N9" s="71"/>
      <c r="O9" s="71"/>
      <c r="P9" s="71"/>
      <c r="Q9" s="71"/>
      <c r="R9" s="71"/>
      <c r="S9" s="71"/>
      <c r="T9" s="71"/>
      <c r="U9" s="71"/>
      <c r="V9" s="71"/>
      <c r="W9" s="71"/>
      <c r="X9" s="72"/>
      <c r="Y9" s="73" t="s">
        <v>31</v>
      </c>
      <c r="Z9" s="71"/>
      <c r="AA9" s="68"/>
      <c r="AB9" s="71"/>
      <c r="AC9" s="68"/>
      <c r="AD9" s="71"/>
      <c r="AE9" s="71"/>
      <c r="AF9" s="71"/>
      <c r="AG9" s="71"/>
      <c r="AH9" s="71"/>
      <c r="AI9" s="71"/>
      <c r="AJ9" s="71"/>
      <c r="AK9" s="71"/>
      <c r="AL9" s="71"/>
      <c r="AM9" s="71"/>
      <c r="AN9" s="71"/>
      <c r="AO9" s="71"/>
      <c r="AP9" s="71"/>
      <c r="AQ9" s="71"/>
      <c r="AR9" s="71"/>
      <c r="AS9" s="71"/>
      <c r="AT9" s="71"/>
      <c r="AU9" s="74"/>
      <c r="AV9" s="20"/>
    </row>
    <row r="10" spans="1:48" ht="13.5" customHeight="1">
      <c r="A10" s="82"/>
      <c r="B10" s="83"/>
      <c r="C10" s="23"/>
      <c r="D10" s="23"/>
      <c r="E10" s="86"/>
      <c r="F10" s="84"/>
      <c r="G10" s="84"/>
      <c r="H10" s="84"/>
      <c r="I10" s="84"/>
      <c r="J10" s="84"/>
      <c r="K10" s="84"/>
      <c r="L10" s="84"/>
      <c r="M10" s="84"/>
      <c r="N10" s="84"/>
      <c r="O10" s="84"/>
      <c r="P10" s="84"/>
      <c r="Q10" s="84"/>
      <c r="R10" s="84"/>
      <c r="S10" s="84"/>
      <c r="T10" s="84"/>
      <c r="U10" s="84"/>
      <c r="V10" s="84"/>
      <c r="W10" s="84"/>
      <c r="X10" s="85"/>
      <c r="Y10" s="86"/>
      <c r="Z10" s="84"/>
      <c r="AA10" s="68"/>
      <c r="AB10" s="84"/>
      <c r="AC10" s="68"/>
      <c r="AD10" s="84"/>
      <c r="AE10" s="84"/>
      <c r="AF10" s="84"/>
      <c r="AG10" s="84"/>
      <c r="AH10" s="84"/>
      <c r="AI10" s="84"/>
      <c r="AJ10" s="84"/>
      <c r="AK10" s="84"/>
      <c r="AL10" s="84"/>
      <c r="AM10" s="84"/>
      <c r="AN10" s="84"/>
      <c r="AO10" s="84"/>
      <c r="AP10" s="84"/>
      <c r="AQ10" s="84"/>
      <c r="AR10" s="84"/>
      <c r="AS10" s="84"/>
      <c r="AT10" s="84"/>
      <c r="AU10" s="85"/>
      <c r="AV10" s="24"/>
    </row>
    <row r="11" spans="1:48" ht="13.75" customHeight="1">
      <c r="A11" s="87" t="s">
        <v>32</v>
      </c>
      <c r="B11" s="88"/>
      <c r="C11" s="87" t="s">
        <v>33</v>
      </c>
      <c r="D11" s="89"/>
      <c r="E11" s="88"/>
      <c r="F11" s="25" t="s">
        <v>34</v>
      </c>
      <c r="G11" s="87" t="s">
        <v>35</v>
      </c>
      <c r="H11" s="88"/>
      <c r="I11" s="87" t="s">
        <v>7</v>
      </c>
      <c r="J11" s="88"/>
      <c r="K11" s="64" t="s">
        <v>36</v>
      </c>
      <c r="L11" s="65"/>
      <c r="M11" s="65"/>
      <c r="N11" s="65"/>
      <c r="O11" s="65"/>
      <c r="P11" s="65"/>
      <c r="Q11" s="65"/>
      <c r="R11" s="65"/>
      <c r="S11" s="65"/>
      <c r="T11" s="65"/>
      <c r="U11" s="65"/>
      <c r="V11" s="65"/>
      <c r="W11" s="65"/>
      <c r="X11" s="65"/>
      <c r="Y11" s="65"/>
      <c r="Z11" s="65"/>
      <c r="AA11" s="68"/>
      <c r="AB11" s="65"/>
      <c r="AC11" s="68"/>
      <c r="AD11" s="65"/>
      <c r="AE11" s="65"/>
      <c r="AF11" s="65"/>
      <c r="AG11" s="65"/>
      <c r="AH11" s="65"/>
      <c r="AI11" s="65"/>
      <c r="AJ11" s="65"/>
      <c r="AK11" s="65"/>
      <c r="AL11" s="65"/>
      <c r="AM11" s="65"/>
      <c r="AN11" s="65"/>
      <c r="AO11" s="65"/>
      <c r="AP11" s="65"/>
      <c r="AQ11" s="65"/>
      <c r="AR11" s="65"/>
      <c r="AS11" s="65"/>
      <c r="AT11" s="65"/>
      <c r="AU11" s="69"/>
      <c r="AV11" s="20"/>
    </row>
    <row r="12" spans="1:48" ht="13.75" customHeight="1">
      <c r="A12" s="111"/>
      <c r="B12" s="102"/>
      <c r="C12" s="112"/>
      <c r="D12" s="68"/>
      <c r="E12" s="102"/>
      <c r="F12" s="29"/>
      <c r="G12" s="111"/>
      <c r="H12" s="102"/>
      <c r="I12" s="111"/>
      <c r="J12" s="102"/>
      <c r="K12" s="27" t="s">
        <v>163</v>
      </c>
      <c r="L12" s="27" t="s">
        <v>164</v>
      </c>
      <c r="M12" s="27" t="s">
        <v>165</v>
      </c>
      <c r="N12" s="113" t="s">
        <v>166</v>
      </c>
      <c r="O12" s="102"/>
      <c r="P12" s="27" t="s">
        <v>167</v>
      </c>
      <c r="Q12" s="27" t="s">
        <v>166</v>
      </c>
      <c r="R12" s="113" t="s">
        <v>151</v>
      </c>
      <c r="S12" s="102"/>
      <c r="T12" s="28"/>
      <c r="U12" s="28"/>
      <c r="V12" s="33" t="s">
        <v>173</v>
      </c>
      <c r="W12" s="27" t="s">
        <v>150</v>
      </c>
      <c r="X12" s="113" t="s">
        <v>152</v>
      </c>
      <c r="Y12" s="102"/>
      <c r="Z12" s="33" t="s">
        <v>170</v>
      </c>
      <c r="AA12" s="28"/>
      <c r="AB12" s="28"/>
      <c r="AC12" s="28"/>
      <c r="AD12" s="28"/>
      <c r="AE12" s="28"/>
      <c r="AF12" s="28"/>
      <c r="AG12" s="28"/>
      <c r="AH12" s="95"/>
      <c r="AI12" s="102"/>
      <c r="AJ12" s="28"/>
      <c r="AK12" s="28"/>
      <c r="AL12" s="28"/>
      <c r="AM12" s="28"/>
      <c r="AN12" s="95"/>
      <c r="AO12" s="102"/>
      <c r="AP12" s="28"/>
      <c r="AQ12" s="28"/>
      <c r="AR12" s="28"/>
      <c r="AS12" s="28"/>
      <c r="AT12" s="95"/>
      <c r="AU12" s="102"/>
      <c r="AV12" s="20"/>
    </row>
    <row r="13" spans="1:48" ht="13.75" customHeight="1">
      <c r="A13" s="90" t="s">
        <v>37</v>
      </c>
      <c r="B13" s="91"/>
      <c r="C13" s="92" t="s">
        <v>38</v>
      </c>
      <c r="D13" s="93"/>
      <c r="E13" s="94"/>
      <c r="F13" s="26" t="s">
        <v>39</v>
      </c>
      <c r="G13" s="90" t="s">
        <v>40</v>
      </c>
      <c r="H13" s="91"/>
      <c r="I13" s="90" t="s">
        <v>41</v>
      </c>
      <c r="J13" s="91"/>
      <c r="K13" s="28">
        <v>0</v>
      </c>
      <c r="L13" s="28">
        <v>0</v>
      </c>
      <c r="M13" s="28">
        <v>0</v>
      </c>
      <c r="N13" s="95">
        <v>0</v>
      </c>
      <c r="O13" s="96"/>
      <c r="P13" s="28">
        <v>0</v>
      </c>
      <c r="Q13" s="28"/>
      <c r="R13" s="97">
        <v>0</v>
      </c>
      <c r="S13" s="96"/>
      <c r="T13" s="28"/>
      <c r="U13" s="28"/>
      <c r="V13" s="28">
        <f>(W13*0.4)</f>
        <v>2</v>
      </c>
      <c r="W13" s="30">
        <v>5</v>
      </c>
      <c r="X13" s="95">
        <v>2</v>
      </c>
      <c r="Y13" s="96"/>
      <c r="Z13" s="28">
        <f>SUM(K13,L13,M13,N13,P13,V13,)</f>
        <v>2</v>
      </c>
      <c r="AA13" s="28"/>
      <c r="AB13" s="28"/>
      <c r="AC13" s="28"/>
      <c r="AD13" s="28"/>
      <c r="AE13" s="28"/>
      <c r="AF13" s="28"/>
      <c r="AG13" s="28"/>
      <c r="AH13" s="95"/>
      <c r="AI13" s="96"/>
      <c r="AJ13" s="28"/>
      <c r="AK13" s="28"/>
      <c r="AL13" s="28"/>
      <c r="AM13" s="28"/>
      <c r="AN13" s="95"/>
      <c r="AO13" s="96"/>
      <c r="AP13" s="28"/>
      <c r="AQ13" s="28"/>
      <c r="AR13" s="28"/>
      <c r="AS13" s="28"/>
      <c r="AT13" s="95"/>
      <c r="AU13" s="96"/>
      <c r="AV13" s="20"/>
    </row>
    <row r="14" spans="1:48" ht="13.75" customHeight="1">
      <c r="A14" s="90" t="s">
        <v>43</v>
      </c>
      <c r="B14" s="91"/>
      <c r="C14" s="92" t="s">
        <v>44</v>
      </c>
      <c r="D14" s="93"/>
      <c r="E14" s="94"/>
      <c r="F14" s="26" t="s">
        <v>45</v>
      </c>
      <c r="G14" s="90" t="s">
        <v>40</v>
      </c>
      <c r="H14" s="91"/>
      <c r="I14" s="90" t="s">
        <v>41</v>
      </c>
      <c r="J14" s="91"/>
      <c r="K14" s="30">
        <v>20</v>
      </c>
      <c r="L14" s="30">
        <v>3</v>
      </c>
      <c r="M14" s="30">
        <v>20</v>
      </c>
      <c r="N14" s="97">
        <v>3</v>
      </c>
      <c r="O14" s="96"/>
      <c r="P14" s="28">
        <v>0</v>
      </c>
      <c r="Q14" s="28"/>
      <c r="R14" s="97">
        <v>100</v>
      </c>
      <c r="S14" s="96"/>
      <c r="T14" s="28"/>
      <c r="U14" s="28"/>
      <c r="V14" s="28">
        <f t="shared" ref="V14:V49" si="0">(W14*0.4)</f>
        <v>20</v>
      </c>
      <c r="W14" s="30">
        <v>50</v>
      </c>
      <c r="X14" s="97">
        <v>86</v>
      </c>
      <c r="Y14" s="96"/>
      <c r="Z14" s="28">
        <f t="shared" ref="Z14:Z49" si="1">SUM(K14,L14,M14,N14,P14,V14,)</f>
        <v>66</v>
      </c>
      <c r="AA14" s="28"/>
      <c r="AB14" s="28"/>
      <c r="AC14" s="28"/>
      <c r="AD14" s="28"/>
      <c r="AE14" s="28"/>
      <c r="AF14" s="28"/>
      <c r="AG14" s="28"/>
      <c r="AH14" s="95"/>
      <c r="AI14" s="96"/>
      <c r="AJ14" s="28"/>
      <c r="AK14" s="28"/>
      <c r="AL14" s="28"/>
      <c r="AM14" s="28"/>
      <c r="AN14" s="95"/>
      <c r="AO14" s="96"/>
      <c r="AP14" s="28"/>
      <c r="AQ14" s="28"/>
      <c r="AR14" s="28"/>
      <c r="AS14" s="28"/>
      <c r="AT14" s="95"/>
      <c r="AU14" s="96"/>
      <c r="AV14" s="20"/>
    </row>
    <row r="15" spans="1:48" ht="13.75" customHeight="1">
      <c r="A15" s="90" t="s">
        <v>46</v>
      </c>
      <c r="B15" s="91"/>
      <c r="C15" s="92" t="s">
        <v>47</v>
      </c>
      <c r="D15" s="93"/>
      <c r="E15" s="94"/>
      <c r="F15" s="26" t="s">
        <v>48</v>
      </c>
      <c r="G15" s="90" t="s">
        <v>40</v>
      </c>
      <c r="H15" s="91"/>
      <c r="I15" s="90" t="s">
        <v>41</v>
      </c>
      <c r="J15" s="91"/>
      <c r="K15" s="30">
        <v>20</v>
      </c>
      <c r="L15" s="30">
        <v>3</v>
      </c>
      <c r="M15" s="30">
        <v>20</v>
      </c>
      <c r="N15" s="97">
        <v>3</v>
      </c>
      <c r="O15" s="96"/>
      <c r="P15" s="30">
        <v>20</v>
      </c>
      <c r="Q15" s="30">
        <v>3</v>
      </c>
      <c r="R15" s="97">
        <v>100</v>
      </c>
      <c r="S15" s="96"/>
      <c r="T15" s="28"/>
      <c r="U15" s="28"/>
      <c r="V15" s="28">
        <f t="shared" si="0"/>
        <v>10</v>
      </c>
      <c r="W15" s="30">
        <v>25</v>
      </c>
      <c r="X15" s="97">
        <v>80</v>
      </c>
      <c r="Y15" s="96"/>
      <c r="Z15" s="28">
        <f t="shared" si="1"/>
        <v>76</v>
      </c>
      <c r="AA15" s="28"/>
      <c r="AB15" s="28"/>
      <c r="AC15" s="28"/>
      <c r="AD15" s="28"/>
      <c r="AE15" s="28"/>
      <c r="AF15" s="28"/>
      <c r="AG15" s="28"/>
      <c r="AH15" s="95"/>
      <c r="AI15" s="96"/>
      <c r="AJ15" s="28"/>
      <c r="AK15" s="28"/>
      <c r="AL15" s="28"/>
      <c r="AM15" s="28"/>
      <c r="AN15" s="95"/>
      <c r="AO15" s="96"/>
      <c r="AP15" s="28"/>
      <c r="AQ15" s="28"/>
      <c r="AR15" s="28"/>
      <c r="AS15" s="28"/>
      <c r="AT15" s="95"/>
      <c r="AU15" s="96"/>
      <c r="AV15" s="20"/>
    </row>
    <row r="16" spans="1:48" ht="16" hidden="1">
      <c r="A16" s="90" t="s">
        <v>49</v>
      </c>
      <c r="B16" s="91"/>
      <c r="C16" s="92" t="s">
        <v>50</v>
      </c>
      <c r="D16" s="93"/>
      <c r="E16" s="94"/>
      <c r="F16" s="26" t="s">
        <v>51</v>
      </c>
      <c r="G16" s="98" t="s">
        <v>40</v>
      </c>
      <c r="H16" s="91"/>
      <c r="I16" s="90" t="s">
        <v>41</v>
      </c>
      <c r="J16" s="91"/>
      <c r="K16" s="28">
        <v>0</v>
      </c>
      <c r="L16" s="33">
        <v>0</v>
      </c>
      <c r="M16" s="28">
        <v>0</v>
      </c>
      <c r="N16" s="95">
        <v>0</v>
      </c>
      <c r="O16" s="96"/>
      <c r="P16" s="28">
        <v>0</v>
      </c>
      <c r="Q16" s="28"/>
      <c r="R16" s="97">
        <v>100</v>
      </c>
      <c r="S16" s="96"/>
      <c r="T16" s="28"/>
      <c r="U16" s="28"/>
      <c r="V16" s="28"/>
      <c r="W16" s="27" t="s">
        <v>168</v>
      </c>
      <c r="X16" s="95">
        <v>0</v>
      </c>
      <c r="Y16" s="96"/>
      <c r="Z16" s="28">
        <f t="shared" si="1"/>
        <v>0</v>
      </c>
      <c r="AA16" s="28"/>
      <c r="AB16" s="28"/>
      <c r="AC16" s="28"/>
      <c r="AD16" s="28"/>
      <c r="AE16" s="28"/>
      <c r="AF16" s="28"/>
      <c r="AG16" s="28"/>
      <c r="AH16" s="95"/>
      <c r="AI16" s="96"/>
      <c r="AJ16" s="28"/>
      <c r="AK16" s="28"/>
      <c r="AL16" s="28"/>
      <c r="AM16" s="28"/>
      <c r="AN16" s="95"/>
      <c r="AO16" s="96"/>
      <c r="AP16" s="28"/>
      <c r="AQ16" s="28"/>
      <c r="AR16" s="28"/>
      <c r="AS16" s="28"/>
      <c r="AT16" s="95"/>
      <c r="AU16" s="96"/>
      <c r="AV16" s="20"/>
    </row>
    <row r="17" spans="1:48" ht="13.75" customHeight="1">
      <c r="A17" s="90" t="s">
        <v>52</v>
      </c>
      <c r="B17" s="91"/>
      <c r="C17" s="92" t="s">
        <v>53</v>
      </c>
      <c r="D17" s="93"/>
      <c r="E17" s="94"/>
      <c r="F17" s="26" t="s">
        <v>54</v>
      </c>
      <c r="G17" s="90" t="s">
        <v>40</v>
      </c>
      <c r="H17" s="91"/>
      <c r="I17" s="90" t="s">
        <v>41</v>
      </c>
      <c r="J17" s="91"/>
      <c r="K17" s="30">
        <v>20</v>
      </c>
      <c r="L17" s="28">
        <v>3</v>
      </c>
      <c r="M17" s="30">
        <v>20</v>
      </c>
      <c r="N17" s="95">
        <v>0</v>
      </c>
      <c r="O17" s="96"/>
      <c r="P17" s="30">
        <v>20</v>
      </c>
      <c r="Q17" s="28"/>
      <c r="R17" s="97">
        <v>100</v>
      </c>
      <c r="S17" s="96"/>
      <c r="T17" s="28"/>
      <c r="U17" s="28"/>
      <c r="V17" s="28">
        <f t="shared" si="0"/>
        <v>22</v>
      </c>
      <c r="W17" s="30">
        <v>55</v>
      </c>
      <c r="X17" s="95">
        <v>85</v>
      </c>
      <c r="Y17" s="96"/>
      <c r="Z17" s="28">
        <f t="shared" si="1"/>
        <v>85</v>
      </c>
      <c r="AA17" s="28"/>
      <c r="AB17" s="28"/>
      <c r="AC17" s="28"/>
      <c r="AD17" s="28"/>
      <c r="AE17" s="28"/>
      <c r="AF17" s="28"/>
      <c r="AG17" s="28"/>
      <c r="AH17" s="95"/>
      <c r="AI17" s="96"/>
      <c r="AJ17" s="28"/>
      <c r="AK17" s="28"/>
      <c r="AL17" s="28"/>
      <c r="AM17" s="28"/>
      <c r="AN17" s="95"/>
      <c r="AO17" s="96"/>
      <c r="AP17" s="28"/>
      <c r="AQ17" s="28"/>
      <c r="AR17" s="28"/>
      <c r="AS17" s="28"/>
      <c r="AT17" s="95"/>
      <c r="AU17" s="96"/>
      <c r="AV17" s="20"/>
    </row>
    <row r="18" spans="1:48" ht="13.75" customHeight="1">
      <c r="A18" s="90" t="s">
        <v>55</v>
      </c>
      <c r="B18" s="91"/>
      <c r="C18" s="92" t="s">
        <v>56</v>
      </c>
      <c r="D18" s="93"/>
      <c r="E18" s="94"/>
      <c r="F18" s="26" t="s">
        <v>57</v>
      </c>
      <c r="G18" s="90" t="s">
        <v>40</v>
      </c>
      <c r="H18" s="91"/>
      <c r="I18" s="90" t="s">
        <v>41</v>
      </c>
      <c r="J18" s="91"/>
      <c r="K18" s="30">
        <v>20</v>
      </c>
      <c r="L18" s="28">
        <v>0</v>
      </c>
      <c r="M18" s="30">
        <v>20</v>
      </c>
      <c r="N18" s="95">
        <v>0</v>
      </c>
      <c r="O18" s="96"/>
      <c r="P18" s="30">
        <v>20</v>
      </c>
      <c r="Q18" s="30">
        <v>3</v>
      </c>
      <c r="R18" s="97">
        <v>100</v>
      </c>
      <c r="S18" s="96"/>
      <c r="T18" s="28"/>
      <c r="U18" s="28"/>
      <c r="V18" s="28">
        <f t="shared" si="0"/>
        <v>22</v>
      </c>
      <c r="W18" s="30">
        <v>55</v>
      </c>
      <c r="X18" s="97">
        <v>85</v>
      </c>
      <c r="Y18" s="96"/>
      <c r="Z18" s="28">
        <f t="shared" si="1"/>
        <v>82</v>
      </c>
      <c r="AA18" s="28"/>
      <c r="AB18" s="28"/>
      <c r="AC18" s="28"/>
      <c r="AD18" s="28"/>
      <c r="AE18" s="28"/>
      <c r="AF18" s="28"/>
      <c r="AG18" s="28"/>
      <c r="AH18" s="95"/>
      <c r="AI18" s="96"/>
      <c r="AJ18" s="28"/>
      <c r="AK18" s="28"/>
      <c r="AL18" s="28"/>
      <c r="AM18" s="28"/>
      <c r="AN18" s="95"/>
      <c r="AO18" s="96"/>
      <c r="AP18" s="28"/>
      <c r="AQ18" s="28"/>
      <c r="AR18" s="28"/>
      <c r="AS18" s="28"/>
      <c r="AT18" s="95"/>
      <c r="AU18" s="96"/>
      <c r="AV18" s="20"/>
    </row>
    <row r="19" spans="1:48" ht="13.75" customHeight="1">
      <c r="A19" s="90" t="s">
        <v>58</v>
      </c>
      <c r="B19" s="91"/>
      <c r="C19" s="92" t="s">
        <v>59</v>
      </c>
      <c r="D19" s="93"/>
      <c r="E19" s="94"/>
      <c r="F19" s="26" t="s">
        <v>60</v>
      </c>
      <c r="G19" s="90" t="s">
        <v>40</v>
      </c>
      <c r="H19" s="91"/>
      <c r="I19" s="90" t="s">
        <v>41</v>
      </c>
      <c r="J19" s="91"/>
      <c r="K19" s="30">
        <v>20</v>
      </c>
      <c r="L19" s="30">
        <v>3</v>
      </c>
      <c r="M19" s="30">
        <v>20</v>
      </c>
      <c r="N19" s="97">
        <v>3</v>
      </c>
      <c r="O19" s="96"/>
      <c r="P19" s="30">
        <v>20</v>
      </c>
      <c r="Q19" s="30">
        <v>3</v>
      </c>
      <c r="R19" s="97">
        <v>100</v>
      </c>
      <c r="S19" s="96"/>
      <c r="T19" s="28"/>
      <c r="U19" s="28"/>
      <c r="V19" s="28">
        <f t="shared" si="0"/>
        <v>34</v>
      </c>
      <c r="W19" s="30">
        <v>85</v>
      </c>
      <c r="X19" s="97">
        <v>100</v>
      </c>
      <c r="Y19" s="96"/>
      <c r="Z19" s="28">
        <f t="shared" si="1"/>
        <v>100</v>
      </c>
      <c r="AA19" s="28"/>
      <c r="AB19" s="28"/>
      <c r="AC19" s="28"/>
      <c r="AD19" s="28"/>
      <c r="AE19" s="28"/>
      <c r="AF19" s="28"/>
      <c r="AG19" s="28"/>
      <c r="AH19" s="95"/>
      <c r="AI19" s="96"/>
      <c r="AJ19" s="28"/>
      <c r="AK19" s="28"/>
      <c r="AL19" s="28"/>
      <c r="AM19" s="28"/>
      <c r="AN19" s="95"/>
      <c r="AO19" s="96"/>
      <c r="AP19" s="28"/>
      <c r="AQ19" s="28"/>
      <c r="AR19" s="28"/>
      <c r="AS19" s="28"/>
      <c r="AT19" s="95"/>
      <c r="AU19" s="96"/>
      <c r="AV19" s="20"/>
    </row>
    <row r="20" spans="1:48" ht="13.75" customHeight="1">
      <c r="A20" s="90" t="s">
        <v>61</v>
      </c>
      <c r="B20" s="91"/>
      <c r="C20" s="92" t="s">
        <v>62</v>
      </c>
      <c r="D20" s="93"/>
      <c r="E20" s="94"/>
      <c r="F20" s="26" t="s">
        <v>63</v>
      </c>
      <c r="G20" s="90" t="s">
        <v>40</v>
      </c>
      <c r="H20" s="91"/>
      <c r="I20" s="90" t="s">
        <v>41</v>
      </c>
      <c r="J20" s="91"/>
      <c r="K20" s="30">
        <v>20</v>
      </c>
      <c r="L20" s="28">
        <v>0</v>
      </c>
      <c r="M20" s="30">
        <v>20</v>
      </c>
      <c r="N20" s="95">
        <v>0</v>
      </c>
      <c r="O20" s="96"/>
      <c r="P20" s="30">
        <v>20</v>
      </c>
      <c r="Q20" s="28"/>
      <c r="R20" s="97">
        <v>100</v>
      </c>
      <c r="S20" s="96"/>
      <c r="T20" s="28"/>
      <c r="U20" s="28"/>
      <c r="V20" s="28">
        <f t="shared" si="0"/>
        <v>0</v>
      </c>
      <c r="W20" s="30">
        <v>0</v>
      </c>
      <c r="X20" s="97">
        <v>60</v>
      </c>
      <c r="Y20" s="96"/>
      <c r="Z20" s="28">
        <f t="shared" si="1"/>
        <v>60</v>
      </c>
      <c r="AA20" s="28"/>
      <c r="AB20" s="28"/>
      <c r="AC20" s="28"/>
      <c r="AD20" s="28"/>
      <c r="AE20" s="28"/>
      <c r="AF20" s="28"/>
      <c r="AG20" s="28"/>
      <c r="AH20" s="95"/>
      <c r="AI20" s="96"/>
      <c r="AJ20" s="28"/>
      <c r="AK20" s="28"/>
      <c r="AL20" s="28"/>
      <c r="AM20" s="28"/>
      <c r="AN20" s="95"/>
      <c r="AO20" s="96"/>
      <c r="AP20" s="28"/>
      <c r="AQ20" s="28"/>
      <c r="AR20" s="28"/>
      <c r="AS20" s="28"/>
      <c r="AT20" s="95"/>
      <c r="AU20" s="96"/>
      <c r="AV20" s="20"/>
    </row>
    <row r="21" spans="1:48" ht="13.75" customHeight="1">
      <c r="A21" s="90" t="s">
        <v>64</v>
      </c>
      <c r="B21" s="91"/>
      <c r="C21" s="92" t="s">
        <v>65</v>
      </c>
      <c r="D21" s="93"/>
      <c r="E21" s="94"/>
      <c r="F21" s="26" t="s">
        <v>66</v>
      </c>
      <c r="G21" s="90" t="s">
        <v>40</v>
      </c>
      <c r="H21" s="91"/>
      <c r="I21" s="90" t="s">
        <v>41</v>
      </c>
      <c r="J21" s="91"/>
      <c r="K21" s="30">
        <v>20</v>
      </c>
      <c r="L21" s="28">
        <v>0</v>
      </c>
      <c r="M21" s="30">
        <v>20</v>
      </c>
      <c r="N21" s="97">
        <v>3</v>
      </c>
      <c r="O21" s="96"/>
      <c r="P21" s="30">
        <v>20</v>
      </c>
      <c r="Q21" s="28"/>
      <c r="R21" s="97">
        <v>100</v>
      </c>
      <c r="S21" s="96"/>
      <c r="T21" s="28"/>
      <c r="U21" s="28"/>
      <c r="V21" s="28">
        <f t="shared" si="0"/>
        <v>34</v>
      </c>
      <c r="W21" s="30">
        <v>85</v>
      </c>
      <c r="X21" s="97">
        <v>100</v>
      </c>
      <c r="Y21" s="96"/>
      <c r="Z21" s="28">
        <f t="shared" si="1"/>
        <v>97</v>
      </c>
      <c r="AA21" s="28"/>
      <c r="AB21" s="28"/>
      <c r="AC21" s="28"/>
      <c r="AD21" s="28"/>
      <c r="AE21" s="28"/>
      <c r="AF21" s="28"/>
      <c r="AG21" s="28"/>
      <c r="AH21" s="95"/>
      <c r="AI21" s="96"/>
      <c r="AJ21" s="28"/>
      <c r="AK21" s="28"/>
      <c r="AL21" s="28"/>
      <c r="AM21" s="28"/>
      <c r="AN21" s="95"/>
      <c r="AO21" s="96"/>
      <c r="AP21" s="28"/>
      <c r="AQ21" s="28"/>
      <c r="AR21" s="28"/>
      <c r="AS21" s="28"/>
      <c r="AT21" s="95"/>
      <c r="AU21" s="96"/>
      <c r="AV21" s="20"/>
    </row>
    <row r="22" spans="1:48" ht="13.75" customHeight="1">
      <c r="A22" s="90" t="s">
        <v>67</v>
      </c>
      <c r="B22" s="91"/>
      <c r="C22" s="92" t="s">
        <v>68</v>
      </c>
      <c r="D22" s="93"/>
      <c r="E22" s="94"/>
      <c r="F22" s="26" t="s">
        <v>69</v>
      </c>
      <c r="G22" s="90" t="s">
        <v>40</v>
      </c>
      <c r="H22" s="91"/>
      <c r="I22" s="90" t="s">
        <v>41</v>
      </c>
      <c r="J22" s="91"/>
      <c r="K22" s="28">
        <v>20</v>
      </c>
      <c r="L22" s="28">
        <v>0</v>
      </c>
      <c r="M22" s="28">
        <v>20</v>
      </c>
      <c r="N22" s="95">
        <v>0</v>
      </c>
      <c r="O22" s="96"/>
      <c r="P22" s="28">
        <v>20</v>
      </c>
      <c r="Q22" s="28"/>
      <c r="R22" s="97">
        <v>100</v>
      </c>
      <c r="S22" s="96"/>
      <c r="T22" s="28"/>
      <c r="U22" s="28"/>
      <c r="V22" s="28">
        <f t="shared" si="0"/>
        <v>0</v>
      </c>
      <c r="W22" s="30">
        <v>0</v>
      </c>
      <c r="X22" s="95">
        <v>60</v>
      </c>
      <c r="Y22" s="96"/>
      <c r="Z22" s="28">
        <f t="shared" si="1"/>
        <v>60</v>
      </c>
      <c r="AA22" s="28"/>
      <c r="AB22" s="28"/>
      <c r="AC22" s="28"/>
      <c r="AD22" s="28"/>
      <c r="AE22" s="28"/>
      <c r="AF22" s="28"/>
      <c r="AG22" s="28"/>
      <c r="AH22" s="95"/>
      <c r="AI22" s="96"/>
      <c r="AJ22" s="28"/>
      <c r="AK22" s="28"/>
      <c r="AL22" s="28"/>
      <c r="AM22" s="28"/>
      <c r="AN22" s="95"/>
      <c r="AO22" s="96"/>
      <c r="AP22" s="28"/>
      <c r="AQ22" s="28"/>
      <c r="AR22" s="28"/>
      <c r="AS22" s="28"/>
      <c r="AT22" s="95"/>
      <c r="AU22" s="96"/>
      <c r="AV22" s="20"/>
    </row>
    <row r="23" spans="1:48" ht="13.75" customHeight="1">
      <c r="A23" s="90" t="s">
        <v>70</v>
      </c>
      <c r="B23" s="91"/>
      <c r="C23" s="92" t="s">
        <v>71</v>
      </c>
      <c r="D23" s="93"/>
      <c r="E23" s="94"/>
      <c r="F23" s="26" t="s">
        <v>72</v>
      </c>
      <c r="G23" s="90" t="s">
        <v>40</v>
      </c>
      <c r="H23" s="91"/>
      <c r="I23" s="90" t="s">
        <v>41</v>
      </c>
      <c r="J23" s="91"/>
      <c r="K23" s="30">
        <v>20</v>
      </c>
      <c r="L23" s="28">
        <v>0</v>
      </c>
      <c r="M23" s="30">
        <v>20</v>
      </c>
      <c r="N23" s="97">
        <v>3</v>
      </c>
      <c r="O23" s="96"/>
      <c r="P23" s="30">
        <v>20</v>
      </c>
      <c r="Q23" s="30">
        <v>3</v>
      </c>
      <c r="R23" s="97">
        <v>100</v>
      </c>
      <c r="S23" s="96"/>
      <c r="T23" s="28"/>
      <c r="U23" s="28"/>
      <c r="V23" s="28">
        <f t="shared" si="0"/>
        <v>38.800000000000004</v>
      </c>
      <c r="W23" s="30">
        <v>97</v>
      </c>
      <c r="X23" s="97">
        <v>100</v>
      </c>
      <c r="Y23" s="96"/>
      <c r="Z23" s="28">
        <f t="shared" si="1"/>
        <v>101.80000000000001</v>
      </c>
      <c r="AA23" s="28"/>
      <c r="AB23" s="28"/>
      <c r="AC23" s="28"/>
      <c r="AD23" s="28"/>
      <c r="AE23" s="28"/>
      <c r="AF23" s="28"/>
      <c r="AG23" s="28"/>
      <c r="AH23" s="95"/>
      <c r="AI23" s="96"/>
      <c r="AJ23" s="28"/>
      <c r="AK23" s="28"/>
      <c r="AL23" s="28"/>
      <c r="AM23" s="28"/>
      <c r="AN23" s="95"/>
      <c r="AO23" s="96"/>
      <c r="AP23" s="28"/>
      <c r="AQ23" s="28"/>
      <c r="AR23" s="28"/>
      <c r="AS23" s="28"/>
      <c r="AT23" s="95"/>
      <c r="AU23" s="96"/>
      <c r="AV23" s="20"/>
    </row>
    <row r="24" spans="1:48" ht="13.75" customHeight="1">
      <c r="A24" s="90" t="s">
        <v>73</v>
      </c>
      <c r="B24" s="91"/>
      <c r="C24" s="92" t="s">
        <v>74</v>
      </c>
      <c r="D24" s="93"/>
      <c r="E24" s="94"/>
      <c r="F24" s="26" t="s">
        <v>75</v>
      </c>
      <c r="G24" s="90" t="s">
        <v>40</v>
      </c>
      <c r="H24" s="91"/>
      <c r="I24" s="90" t="s">
        <v>41</v>
      </c>
      <c r="J24" s="91"/>
      <c r="K24" s="34">
        <v>20</v>
      </c>
      <c r="L24" s="28">
        <v>0</v>
      </c>
      <c r="M24" s="28">
        <v>20</v>
      </c>
      <c r="N24" s="95">
        <v>0</v>
      </c>
      <c r="O24" s="96"/>
      <c r="P24" s="28">
        <v>20</v>
      </c>
      <c r="Q24" s="28"/>
      <c r="R24" s="95"/>
      <c r="S24" s="96"/>
      <c r="T24" s="28"/>
      <c r="U24" s="28"/>
      <c r="V24" s="28">
        <f t="shared" si="0"/>
        <v>0</v>
      </c>
      <c r="W24" s="30">
        <v>0</v>
      </c>
      <c r="X24" s="95">
        <v>0</v>
      </c>
      <c r="Y24" s="96"/>
      <c r="Z24" s="28">
        <f t="shared" si="1"/>
        <v>60</v>
      </c>
      <c r="AA24" s="28"/>
      <c r="AB24" s="28"/>
      <c r="AC24" s="28"/>
      <c r="AD24" s="28"/>
      <c r="AE24" s="28"/>
      <c r="AF24" s="28"/>
      <c r="AG24" s="28"/>
      <c r="AH24" s="95"/>
      <c r="AI24" s="96"/>
      <c r="AJ24" s="28"/>
      <c r="AK24" s="28"/>
      <c r="AL24" s="28"/>
      <c r="AM24" s="28"/>
      <c r="AN24" s="95"/>
      <c r="AO24" s="96"/>
      <c r="AP24" s="28"/>
      <c r="AQ24" s="28"/>
      <c r="AR24" s="28"/>
      <c r="AS24" s="28"/>
      <c r="AT24" s="95"/>
      <c r="AU24" s="96"/>
      <c r="AV24" s="20"/>
    </row>
    <row r="25" spans="1:48" ht="13.75" customHeight="1">
      <c r="A25" s="90" t="s">
        <v>76</v>
      </c>
      <c r="B25" s="91"/>
      <c r="C25" s="92" t="s">
        <v>77</v>
      </c>
      <c r="D25" s="93"/>
      <c r="E25" s="94"/>
      <c r="F25" s="26" t="s">
        <v>78</v>
      </c>
      <c r="G25" s="90" t="s">
        <v>40</v>
      </c>
      <c r="H25" s="91"/>
      <c r="I25" s="90" t="s">
        <v>41</v>
      </c>
      <c r="J25" s="91"/>
      <c r="K25" s="30">
        <v>20</v>
      </c>
      <c r="L25" s="28">
        <v>0</v>
      </c>
      <c r="M25" s="30">
        <v>20</v>
      </c>
      <c r="N25" s="95">
        <v>0</v>
      </c>
      <c r="O25" s="96"/>
      <c r="P25" s="30">
        <v>20</v>
      </c>
      <c r="Q25" s="28"/>
      <c r="R25" s="97">
        <v>100</v>
      </c>
      <c r="S25" s="96"/>
      <c r="T25" s="28"/>
      <c r="U25" s="28"/>
      <c r="V25" s="28">
        <f t="shared" si="0"/>
        <v>38.800000000000004</v>
      </c>
      <c r="W25" s="30">
        <v>97</v>
      </c>
      <c r="X25" s="95">
        <v>100</v>
      </c>
      <c r="Y25" s="96"/>
      <c r="Z25" s="28">
        <f t="shared" si="1"/>
        <v>98.800000000000011</v>
      </c>
      <c r="AA25" s="28"/>
      <c r="AB25" s="28"/>
      <c r="AC25" s="28"/>
      <c r="AD25" s="28"/>
      <c r="AE25" s="28"/>
      <c r="AF25" s="28"/>
      <c r="AG25" s="28"/>
      <c r="AH25" s="95"/>
      <c r="AI25" s="96"/>
      <c r="AJ25" s="28"/>
      <c r="AK25" s="28"/>
      <c r="AL25" s="28"/>
      <c r="AM25" s="28"/>
      <c r="AN25" s="95"/>
      <c r="AO25" s="96"/>
      <c r="AP25" s="28"/>
      <c r="AQ25" s="28"/>
      <c r="AR25" s="28"/>
      <c r="AS25" s="28"/>
      <c r="AT25" s="95"/>
      <c r="AU25" s="96"/>
      <c r="AV25" s="20"/>
    </row>
    <row r="26" spans="1:48" ht="13.75" customHeight="1">
      <c r="A26" s="90" t="s">
        <v>79</v>
      </c>
      <c r="B26" s="91"/>
      <c r="C26" s="92" t="s">
        <v>80</v>
      </c>
      <c r="D26" s="93"/>
      <c r="E26" s="94"/>
      <c r="F26" s="26" t="s">
        <v>81</v>
      </c>
      <c r="G26" s="90" t="s">
        <v>40</v>
      </c>
      <c r="H26" s="91"/>
      <c r="I26" s="90" t="s">
        <v>41</v>
      </c>
      <c r="J26" s="91"/>
      <c r="K26" s="28">
        <v>0</v>
      </c>
      <c r="L26" s="28">
        <v>0</v>
      </c>
      <c r="M26" s="28">
        <v>0</v>
      </c>
      <c r="N26" s="95">
        <v>0</v>
      </c>
      <c r="O26" s="96"/>
      <c r="P26" s="28">
        <v>0</v>
      </c>
      <c r="Q26" s="28"/>
      <c r="R26" s="97">
        <v>100</v>
      </c>
      <c r="S26" s="96"/>
      <c r="T26" s="28"/>
      <c r="U26" s="28"/>
      <c r="V26" s="28">
        <f t="shared" si="0"/>
        <v>10.4</v>
      </c>
      <c r="W26" s="30">
        <v>26</v>
      </c>
      <c r="X26" s="95">
        <v>11</v>
      </c>
      <c r="Y26" s="96"/>
      <c r="Z26" s="28">
        <f t="shared" si="1"/>
        <v>10.4</v>
      </c>
      <c r="AA26" s="28"/>
      <c r="AB26" s="28"/>
      <c r="AC26" s="28"/>
      <c r="AD26" s="28"/>
      <c r="AE26" s="28"/>
      <c r="AF26" s="28"/>
      <c r="AG26" s="28"/>
      <c r="AH26" s="95"/>
      <c r="AI26" s="96"/>
      <c r="AJ26" s="28"/>
      <c r="AK26" s="28"/>
      <c r="AL26" s="28"/>
      <c r="AM26" s="28"/>
      <c r="AN26" s="95"/>
      <c r="AO26" s="96"/>
      <c r="AP26" s="28"/>
      <c r="AQ26" s="28"/>
      <c r="AR26" s="28"/>
      <c r="AS26" s="28"/>
      <c r="AT26" s="95"/>
      <c r="AU26" s="96"/>
      <c r="AV26" s="20"/>
    </row>
    <row r="27" spans="1:48" ht="13.75" customHeight="1">
      <c r="A27" s="90" t="s">
        <v>82</v>
      </c>
      <c r="B27" s="91"/>
      <c r="C27" s="92" t="s">
        <v>83</v>
      </c>
      <c r="D27" s="93"/>
      <c r="E27" s="94"/>
      <c r="F27" s="26" t="s">
        <v>84</v>
      </c>
      <c r="G27" s="90" t="s">
        <v>40</v>
      </c>
      <c r="H27" s="91"/>
      <c r="I27" s="90" t="s">
        <v>41</v>
      </c>
      <c r="J27" s="91"/>
      <c r="K27" s="28">
        <v>20</v>
      </c>
      <c r="L27" s="28">
        <v>0</v>
      </c>
      <c r="M27" s="28">
        <v>20</v>
      </c>
      <c r="N27" s="95">
        <v>0</v>
      </c>
      <c r="O27" s="96"/>
      <c r="P27" s="28">
        <v>20</v>
      </c>
      <c r="Q27" s="28"/>
      <c r="R27" s="97">
        <v>100</v>
      </c>
      <c r="S27" s="96"/>
      <c r="T27" s="28"/>
      <c r="U27" s="28"/>
      <c r="V27" s="28">
        <f t="shared" si="0"/>
        <v>0</v>
      </c>
      <c r="W27" s="30">
        <v>0</v>
      </c>
      <c r="X27" s="95">
        <v>60</v>
      </c>
      <c r="Y27" s="96"/>
      <c r="Z27" s="28">
        <f t="shared" si="1"/>
        <v>60</v>
      </c>
      <c r="AA27" s="28"/>
      <c r="AB27" s="28"/>
      <c r="AC27" s="28"/>
      <c r="AD27" s="28"/>
      <c r="AE27" s="28"/>
      <c r="AF27" s="28"/>
      <c r="AG27" s="28"/>
      <c r="AH27" s="95"/>
      <c r="AI27" s="96"/>
      <c r="AJ27" s="28"/>
      <c r="AK27" s="28"/>
      <c r="AL27" s="28"/>
      <c r="AM27" s="28"/>
      <c r="AN27" s="95"/>
      <c r="AO27" s="96"/>
      <c r="AP27" s="28"/>
      <c r="AQ27" s="28"/>
      <c r="AR27" s="28"/>
      <c r="AS27" s="28"/>
      <c r="AT27" s="95"/>
      <c r="AU27" s="96"/>
      <c r="AV27" s="20"/>
    </row>
    <row r="28" spans="1:48" ht="13.75" customHeight="1">
      <c r="A28" s="90" t="s">
        <v>85</v>
      </c>
      <c r="B28" s="91"/>
      <c r="C28" s="92" t="s">
        <v>86</v>
      </c>
      <c r="D28" s="93"/>
      <c r="E28" s="94"/>
      <c r="F28" s="26" t="s">
        <v>87</v>
      </c>
      <c r="G28" s="90" t="s">
        <v>40</v>
      </c>
      <c r="H28" s="91"/>
      <c r="I28" s="90" t="s">
        <v>41</v>
      </c>
      <c r="J28" s="91"/>
      <c r="K28" s="30">
        <v>20</v>
      </c>
      <c r="L28" s="28">
        <v>0</v>
      </c>
      <c r="M28" s="30">
        <v>20</v>
      </c>
      <c r="N28" s="95">
        <v>0</v>
      </c>
      <c r="O28" s="96"/>
      <c r="P28" s="30">
        <v>20</v>
      </c>
      <c r="Q28" s="30">
        <v>3</v>
      </c>
      <c r="R28" s="97">
        <v>100</v>
      </c>
      <c r="S28" s="96"/>
      <c r="T28" s="28"/>
      <c r="U28" s="28"/>
      <c r="V28" s="28">
        <f t="shared" si="0"/>
        <v>37.6</v>
      </c>
      <c r="W28" s="30">
        <v>94</v>
      </c>
      <c r="X28" s="97">
        <v>100</v>
      </c>
      <c r="Y28" s="96"/>
      <c r="Z28" s="28">
        <f t="shared" si="1"/>
        <v>97.6</v>
      </c>
      <c r="AA28" s="28"/>
      <c r="AB28" s="28"/>
      <c r="AC28" s="28"/>
      <c r="AD28" s="28"/>
      <c r="AE28" s="28"/>
      <c r="AF28" s="28"/>
      <c r="AG28" s="28"/>
      <c r="AH28" s="95"/>
      <c r="AI28" s="96"/>
      <c r="AJ28" s="28"/>
      <c r="AK28" s="28"/>
      <c r="AL28" s="28"/>
      <c r="AM28" s="28"/>
      <c r="AN28" s="95"/>
      <c r="AO28" s="96"/>
      <c r="AP28" s="28"/>
      <c r="AQ28" s="28"/>
      <c r="AR28" s="28"/>
      <c r="AS28" s="28"/>
      <c r="AT28" s="95"/>
      <c r="AU28" s="96"/>
      <c r="AV28" s="20"/>
    </row>
    <row r="29" spans="1:48" ht="13.75" customHeight="1">
      <c r="A29" s="90" t="s">
        <v>88</v>
      </c>
      <c r="B29" s="91"/>
      <c r="C29" s="92" t="s">
        <v>89</v>
      </c>
      <c r="D29" s="93"/>
      <c r="E29" s="94"/>
      <c r="F29" s="26" t="s">
        <v>90</v>
      </c>
      <c r="G29" s="90" t="s">
        <v>40</v>
      </c>
      <c r="H29" s="91"/>
      <c r="I29" s="90" t="s">
        <v>41</v>
      </c>
      <c r="J29" s="91"/>
      <c r="K29" s="34">
        <v>20</v>
      </c>
      <c r="L29" s="28">
        <v>0</v>
      </c>
      <c r="M29" s="28">
        <v>0</v>
      </c>
      <c r="N29" s="95">
        <v>0</v>
      </c>
      <c r="O29" s="96"/>
      <c r="P29" s="28">
        <v>0</v>
      </c>
      <c r="Q29" s="28"/>
      <c r="R29" s="95"/>
      <c r="S29" s="96"/>
      <c r="T29" s="28"/>
      <c r="U29" s="28"/>
      <c r="V29" s="28">
        <f t="shared" si="0"/>
        <v>0</v>
      </c>
      <c r="W29" s="30">
        <v>0</v>
      </c>
      <c r="X29" s="95">
        <v>20</v>
      </c>
      <c r="Y29" s="96"/>
      <c r="Z29" s="28">
        <f t="shared" si="1"/>
        <v>20</v>
      </c>
      <c r="AA29" s="28"/>
      <c r="AB29" s="28"/>
      <c r="AC29" s="28"/>
      <c r="AD29" s="28"/>
      <c r="AE29" s="28"/>
      <c r="AF29" s="28"/>
      <c r="AG29" s="28"/>
      <c r="AH29" s="95"/>
      <c r="AI29" s="96"/>
      <c r="AJ29" s="28"/>
      <c r="AK29" s="28"/>
      <c r="AL29" s="28"/>
      <c r="AM29" s="28"/>
      <c r="AN29" s="95"/>
      <c r="AO29" s="96"/>
      <c r="AP29" s="28"/>
      <c r="AQ29" s="28"/>
      <c r="AR29" s="28"/>
      <c r="AS29" s="28"/>
      <c r="AT29" s="95"/>
      <c r="AU29" s="96"/>
      <c r="AV29" s="20"/>
    </row>
    <row r="30" spans="1:48" ht="13.75" customHeight="1">
      <c r="A30" s="90" t="s">
        <v>91</v>
      </c>
      <c r="B30" s="91"/>
      <c r="C30" s="92" t="s">
        <v>92</v>
      </c>
      <c r="D30" s="93"/>
      <c r="E30" s="94"/>
      <c r="F30" s="26" t="s">
        <v>93</v>
      </c>
      <c r="G30" s="90" t="s">
        <v>40</v>
      </c>
      <c r="H30" s="91"/>
      <c r="I30" s="90" t="s">
        <v>41</v>
      </c>
      <c r="J30" s="91"/>
      <c r="K30" s="30">
        <v>20</v>
      </c>
      <c r="L30" s="30">
        <v>3</v>
      </c>
      <c r="M30" s="30">
        <v>20</v>
      </c>
      <c r="N30" s="95">
        <v>0</v>
      </c>
      <c r="O30" s="96"/>
      <c r="P30" s="30">
        <v>20</v>
      </c>
      <c r="Q30" s="28"/>
      <c r="R30" s="95"/>
      <c r="S30" s="96"/>
      <c r="T30" s="28"/>
      <c r="U30" s="28"/>
      <c r="V30" s="28">
        <f t="shared" si="0"/>
        <v>36</v>
      </c>
      <c r="W30" s="30">
        <v>90</v>
      </c>
      <c r="X30" s="97">
        <v>100</v>
      </c>
      <c r="Y30" s="96"/>
      <c r="Z30" s="28">
        <f t="shared" si="1"/>
        <v>99</v>
      </c>
      <c r="AA30" s="28"/>
      <c r="AB30" s="28"/>
      <c r="AC30" s="28"/>
      <c r="AD30" s="28"/>
      <c r="AE30" s="28"/>
      <c r="AF30" s="28"/>
      <c r="AG30" s="28"/>
      <c r="AH30" s="95"/>
      <c r="AI30" s="96"/>
      <c r="AJ30" s="28"/>
      <c r="AK30" s="28"/>
      <c r="AL30" s="28"/>
      <c r="AM30" s="28"/>
      <c r="AN30" s="95"/>
      <c r="AO30" s="96"/>
      <c r="AP30" s="28"/>
      <c r="AQ30" s="28"/>
      <c r="AR30" s="28"/>
      <c r="AS30" s="28"/>
      <c r="AT30" s="95"/>
      <c r="AU30" s="96"/>
      <c r="AV30" s="20"/>
    </row>
    <row r="31" spans="1:48" ht="13.75" customHeight="1">
      <c r="A31" s="90" t="s">
        <v>94</v>
      </c>
      <c r="B31" s="91"/>
      <c r="C31" s="92" t="s">
        <v>95</v>
      </c>
      <c r="D31" s="93"/>
      <c r="E31" s="94"/>
      <c r="F31" s="26" t="s">
        <v>96</v>
      </c>
      <c r="G31" s="90" t="s">
        <v>40</v>
      </c>
      <c r="H31" s="91"/>
      <c r="I31" s="90" t="s">
        <v>41</v>
      </c>
      <c r="J31" s="91"/>
      <c r="K31" s="30">
        <v>20</v>
      </c>
      <c r="L31" s="28">
        <v>0</v>
      </c>
      <c r="M31" s="30">
        <v>20</v>
      </c>
      <c r="N31" s="95">
        <v>0</v>
      </c>
      <c r="O31" s="96"/>
      <c r="P31" s="30">
        <v>20</v>
      </c>
      <c r="Q31" s="28"/>
      <c r="R31" s="97">
        <v>100</v>
      </c>
      <c r="S31" s="96"/>
      <c r="T31" s="28"/>
      <c r="U31" s="28"/>
      <c r="V31" s="28">
        <f t="shared" si="0"/>
        <v>34.4</v>
      </c>
      <c r="W31" s="30">
        <v>86</v>
      </c>
      <c r="X31" s="97">
        <v>95</v>
      </c>
      <c r="Y31" s="96"/>
      <c r="Z31" s="28">
        <f t="shared" si="1"/>
        <v>94.4</v>
      </c>
      <c r="AA31" s="28"/>
      <c r="AB31" s="28"/>
      <c r="AC31" s="28"/>
      <c r="AD31" s="28"/>
      <c r="AE31" s="28"/>
      <c r="AF31" s="28"/>
      <c r="AG31" s="28"/>
      <c r="AH31" s="95"/>
      <c r="AI31" s="96"/>
      <c r="AJ31" s="28"/>
      <c r="AK31" s="28"/>
      <c r="AL31" s="28"/>
      <c r="AM31" s="28"/>
      <c r="AN31" s="95"/>
      <c r="AO31" s="96"/>
      <c r="AP31" s="28"/>
      <c r="AQ31" s="28"/>
      <c r="AR31" s="28"/>
      <c r="AS31" s="28"/>
      <c r="AT31" s="95"/>
      <c r="AU31" s="96"/>
      <c r="AV31" s="20"/>
    </row>
    <row r="32" spans="1:48" ht="13.75" customHeight="1">
      <c r="A32" s="90" t="s">
        <v>97</v>
      </c>
      <c r="B32" s="91"/>
      <c r="C32" s="92" t="s">
        <v>98</v>
      </c>
      <c r="D32" s="93"/>
      <c r="E32" s="94"/>
      <c r="F32" s="26" t="s">
        <v>99</v>
      </c>
      <c r="G32" s="90" t="s">
        <v>40</v>
      </c>
      <c r="H32" s="91"/>
      <c r="I32" s="90" t="s">
        <v>41</v>
      </c>
      <c r="J32" s="91"/>
      <c r="K32" s="30">
        <v>20</v>
      </c>
      <c r="L32" s="28">
        <v>0</v>
      </c>
      <c r="M32" s="30">
        <v>20</v>
      </c>
      <c r="N32" s="97">
        <v>3</v>
      </c>
      <c r="O32" s="96"/>
      <c r="P32" s="30">
        <v>20</v>
      </c>
      <c r="Q32" s="28"/>
      <c r="R32" s="97">
        <v>100</v>
      </c>
      <c r="S32" s="96"/>
      <c r="T32" s="28"/>
      <c r="U32" s="28"/>
      <c r="V32" s="28">
        <f t="shared" si="0"/>
        <v>20</v>
      </c>
      <c r="W32" s="30">
        <v>50</v>
      </c>
      <c r="X32" s="97">
        <v>83</v>
      </c>
      <c r="Y32" s="96"/>
      <c r="Z32" s="28">
        <f t="shared" si="1"/>
        <v>83</v>
      </c>
      <c r="AA32" s="28"/>
      <c r="AB32" s="28"/>
      <c r="AC32" s="28"/>
      <c r="AD32" s="28"/>
      <c r="AE32" s="28"/>
      <c r="AF32" s="28"/>
      <c r="AG32" s="28"/>
      <c r="AH32" s="95"/>
      <c r="AI32" s="96"/>
      <c r="AJ32" s="28"/>
      <c r="AK32" s="28"/>
      <c r="AL32" s="28"/>
      <c r="AM32" s="28"/>
      <c r="AN32" s="95"/>
      <c r="AO32" s="96"/>
      <c r="AP32" s="28"/>
      <c r="AQ32" s="28"/>
      <c r="AR32" s="28"/>
      <c r="AS32" s="28"/>
      <c r="AT32" s="95"/>
      <c r="AU32" s="96"/>
      <c r="AV32" s="20"/>
    </row>
    <row r="33" spans="1:48" ht="13.75" customHeight="1">
      <c r="A33" s="90" t="s">
        <v>100</v>
      </c>
      <c r="B33" s="91"/>
      <c r="C33" s="92" t="s">
        <v>101</v>
      </c>
      <c r="D33" s="93"/>
      <c r="E33" s="94"/>
      <c r="F33" s="26" t="s">
        <v>102</v>
      </c>
      <c r="G33" s="90" t="s">
        <v>40</v>
      </c>
      <c r="H33" s="91"/>
      <c r="I33" s="90" t="s">
        <v>41</v>
      </c>
      <c r="J33" s="91"/>
      <c r="K33" s="28">
        <v>20</v>
      </c>
      <c r="L33" s="28">
        <v>0</v>
      </c>
      <c r="M33" s="28">
        <v>20</v>
      </c>
      <c r="N33" s="95">
        <v>0</v>
      </c>
      <c r="O33" s="96"/>
      <c r="P33" s="28">
        <v>20</v>
      </c>
      <c r="Q33" s="28"/>
      <c r="R33" s="95"/>
      <c r="S33" s="96"/>
      <c r="T33" s="28"/>
      <c r="U33" s="28"/>
      <c r="V33" s="28">
        <f t="shared" si="0"/>
        <v>0</v>
      </c>
      <c r="W33" s="30">
        <v>0</v>
      </c>
      <c r="X33" s="95">
        <v>60</v>
      </c>
      <c r="Y33" s="96"/>
      <c r="Z33" s="28">
        <f t="shared" si="1"/>
        <v>60</v>
      </c>
      <c r="AA33" s="28"/>
      <c r="AB33" s="28"/>
      <c r="AC33" s="28"/>
      <c r="AD33" s="28"/>
      <c r="AE33" s="28"/>
      <c r="AF33" s="28"/>
      <c r="AG33" s="28"/>
      <c r="AH33" s="95"/>
      <c r="AI33" s="96"/>
      <c r="AJ33" s="28"/>
      <c r="AK33" s="28"/>
      <c r="AL33" s="28"/>
      <c r="AM33" s="28"/>
      <c r="AN33" s="95"/>
      <c r="AO33" s="96"/>
      <c r="AP33" s="28"/>
      <c r="AQ33" s="28"/>
      <c r="AR33" s="28"/>
      <c r="AS33" s="28"/>
      <c r="AT33" s="95"/>
      <c r="AU33" s="96"/>
      <c r="AV33" s="20"/>
    </row>
    <row r="34" spans="1:48" ht="13.75" customHeight="1">
      <c r="A34" s="90" t="s">
        <v>103</v>
      </c>
      <c r="B34" s="91"/>
      <c r="C34" s="92" t="s">
        <v>104</v>
      </c>
      <c r="D34" s="93"/>
      <c r="E34" s="94"/>
      <c r="F34" s="26" t="s">
        <v>105</v>
      </c>
      <c r="G34" s="90" t="s">
        <v>40</v>
      </c>
      <c r="H34" s="91"/>
      <c r="I34" s="90" t="s">
        <v>41</v>
      </c>
      <c r="J34" s="91"/>
      <c r="K34" s="30">
        <v>20</v>
      </c>
      <c r="L34" s="28">
        <v>0</v>
      </c>
      <c r="M34" s="30">
        <v>20</v>
      </c>
      <c r="N34" s="95">
        <v>0</v>
      </c>
      <c r="O34" s="96"/>
      <c r="P34" s="30">
        <v>20</v>
      </c>
      <c r="Q34" s="28"/>
      <c r="R34" s="97">
        <v>100</v>
      </c>
      <c r="S34" s="96"/>
      <c r="T34" s="28"/>
      <c r="U34" s="28"/>
      <c r="V34" s="28">
        <f t="shared" si="0"/>
        <v>38</v>
      </c>
      <c r="W34" s="30">
        <v>95</v>
      </c>
      <c r="X34" s="97">
        <v>100</v>
      </c>
      <c r="Y34" s="96"/>
      <c r="Z34" s="28">
        <f t="shared" si="1"/>
        <v>98</v>
      </c>
      <c r="AA34" s="28"/>
      <c r="AB34" s="28"/>
      <c r="AC34" s="28"/>
      <c r="AD34" s="28"/>
      <c r="AE34" s="28"/>
      <c r="AF34" s="28"/>
      <c r="AG34" s="28"/>
      <c r="AH34" s="95"/>
      <c r="AI34" s="96"/>
      <c r="AJ34" s="28"/>
      <c r="AK34" s="28"/>
      <c r="AL34" s="28"/>
      <c r="AM34" s="28"/>
      <c r="AN34" s="95"/>
      <c r="AO34" s="96"/>
      <c r="AP34" s="28"/>
      <c r="AQ34" s="28"/>
      <c r="AR34" s="28"/>
      <c r="AS34" s="28"/>
      <c r="AT34" s="95"/>
      <c r="AU34" s="96"/>
      <c r="AV34" s="20"/>
    </row>
    <row r="35" spans="1:48" ht="13.75" customHeight="1">
      <c r="A35" s="90" t="s">
        <v>106</v>
      </c>
      <c r="B35" s="91"/>
      <c r="C35" s="92" t="s">
        <v>107</v>
      </c>
      <c r="D35" s="93"/>
      <c r="E35" s="94"/>
      <c r="F35" s="26" t="s">
        <v>108</v>
      </c>
      <c r="G35" s="90" t="s">
        <v>40</v>
      </c>
      <c r="H35" s="91"/>
      <c r="I35" s="90" t="s">
        <v>41</v>
      </c>
      <c r="J35" s="91"/>
      <c r="K35" s="34">
        <v>20</v>
      </c>
      <c r="L35" s="28">
        <v>3</v>
      </c>
      <c r="M35" s="28">
        <v>20</v>
      </c>
      <c r="N35" s="95">
        <v>3</v>
      </c>
      <c r="O35" s="96"/>
      <c r="P35" s="28">
        <v>20</v>
      </c>
      <c r="Q35" s="28">
        <v>3</v>
      </c>
      <c r="R35" s="95">
        <v>100</v>
      </c>
      <c r="S35" s="96"/>
      <c r="T35" s="28"/>
      <c r="U35" s="28"/>
      <c r="V35" s="28">
        <f t="shared" si="0"/>
        <v>14</v>
      </c>
      <c r="W35" s="30">
        <v>35</v>
      </c>
      <c r="X35" s="95">
        <v>83</v>
      </c>
      <c r="Y35" s="96"/>
      <c r="Z35" s="27">
        <f>SUM(K35,L35,M35,N35,P35,V35,Q35)</f>
        <v>83</v>
      </c>
      <c r="AA35" s="28"/>
      <c r="AB35" s="28"/>
      <c r="AC35" s="28"/>
      <c r="AD35" s="28"/>
      <c r="AE35" s="28"/>
      <c r="AF35" s="28"/>
      <c r="AG35" s="28"/>
      <c r="AH35" s="95"/>
      <c r="AI35" s="96"/>
      <c r="AJ35" s="28"/>
      <c r="AK35" s="28"/>
      <c r="AL35" s="28"/>
      <c r="AM35" s="28"/>
      <c r="AN35" s="95"/>
      <c r="AO35" s="96"/>
      <c r="AP35" s="28"/>
      <c r="AQ35" s="28"/>
      <c r="AR35" s="28"/>
      <c r="AS35" s="28"/>
      <c r="AT35" s="95"/>
      <c r="AU35" s="96"/>
      <c r="AV35" s="20"/>
    </row>
    <row r="36" spans="1:48" ht="13.75" customHeight="1">
      <c r="A36" s="99">
        <v>24</v>
      </c>
      <c r="B36" s="102"/>
      <c r="C36" s="92" t="s">
        <v>158</v>
      </c>
      <c r="D36" s="68"/>
      <c r="E36" s="102"/>
      <c r="F36" s="31">
        <v>22510751</v>
      </c>
      <c r="G36" s="90" t="s">
        <v>40</v>
      </c>
      <c r="H36" s="102"/>
      <c r="I36" s="90" t="s">
        <v>41</v>
      </c>
      <c r="J36" s="102"/>
      <c r="K36" s="34">
        <v>0</v>
      </c>
      <c r="L36" s="28">
        <v>0</v>
      </c>
      <c r="M36" s="28">
        <v>0</v>
      </c>
      <c r="N36" s="95">
        <v>0</v>
      </c>
      <c r="O36" s="102"/>
      <c r="P36" s="28">
        <v>0</v>
      </c>
      <c r="Q36" s="28"/>
      <c r="R36" s="95"/>
      <c r="S36" s="102"/>
      <c r="T36" s="28"/>
      <c r="U36" s="28"/>
      <c r="V36" s="28">
        <f t="shared" si="0"/>
        <v>0</v>
      </c>
      <c r="W36" s="30">
        <v>0</v>
      </c>
      <c r="X36" s="95">
        <v>0</v>
      </c>
      <c r="Y36" s="96"/>
      <c r="Z36" s="28">
        <f t="shared" si="1"/>
        <v>0</v>
      </c>
      <c r="AA36" s="28"/>
      <c r="AB36" s="28"/>
      <c r="AC36" s="28"/>
      <c r="AD36" s="28"/>
      <c r="AE36" s="28"/>
      <c r="AF36" s="28"/>
      <c r="AG36" s="28"/>
      <c r="AH36" s="95"/>
      <c r="AI36" s="102"/>
      <c r="AJ36" s="28"/>
      <c r="AK36" s="28"/>
      <c r="AL36" s="28"/>
      <c r="AM36" s="28"/>
      <c r="AN36" s="95"/>
      <c r="AO36" s="102"/>
      <c r="AP36" s="28"/>
      <c r="AQ36" s="28"/>
      <c r="AR36" s="28"/>
      <c r="AS36" s="28"/>
      <c r="AT36" s="95"/>
      <c r="AU36" s="102"/>
      <c r="AV36" s="20"/>
    </row>
    <row r="37" spans="1:48" ht="13.75" customHeight="1">
      <c r="A37" s="99">
        <v>25</v>
      </c>
      <c r="B37" s="91"/>
      <c r="C37" s="92" t="s">
        <v>110</v>
      </c>
      <c r="D37" s="93"/>
      <c r="E37" s="94"/>
      <c r="F37" s="26" t="s">
        <v>111</v>
      </c>
      <c r="G37" s="90" t="s">
        <v>40</v>
      </c>
      <c r="H37" s="91"/>
      <c r="I37" s="90" t="s">
        <v>41</v>
      </c>
      <c r="J37" s="91"/>
      <c r="K37" s="30">
        <v>20</v>
      </c>
      <c r="L37" s="30">
        <v>3</v>
      </c>
      <c r="M37" s="30">
        <v>20</v>
      </c>
      <c r="N37" s="97">
        <v>3</v>
      </c>
      <c r="O37" s="96"/>
      <c r="P37" s="30">
        <v>20</v>
      </c>
      <c r="Q37" s="28"/>
      <c r="R37" s="97">
        <v>100</v>
      </c>
      <c r="S37" s="96"/>
      <c r="T37" s="28"/>
      <c r="U37" s="30"/>
      <c r="V37" s="28">
        <f t="shared" si="0"/>
        <v>26</v>
      </c>
      <c r="W37" s="30">
        <v>65</v>
      </c>
      <c r="X37" s="97">
        <v>92</v>
      </c>
      <c r="Y37" s="96"/>
      <c r="Z37" s="28">
        <f t="shared" si="1"/>
        <v>92</v>
      </c>
      <c r="AA37" s="28"/>
      <c r="AB37" s="28"/>
      <c r="AC37" s="28"/>
      <c r="AD37" s="28"/>
      <c r="AE37" s="28"/>
      <c r="AF37" s="28"/>
      <c r="AG37" s="28"/>
      <c r="AH37" s="95"/>
      <c r="AI37" s="96"/>
      <c r="AJ37" s="28"/>
      <c r="AK37" s="28"/>
      <c r="AL37" s="28"/>
      <c r="AM37" s="28"/>
      <c r="AN37" s="95"/>
      <c r="AO37" s="96"/>
      <c r="AP37" s="28"/>
      <c r="AQ37" s="28"/>
      <c r="AR37" s="28"/>
      <c r="AS37" s="28"/>
      <c r="AT37" s="95"/>
      <c r="AU37" s="96"/>
      <c r="AV37" s="20"/>
    </row>
    <row r="38" spans="1:48" ht="15">
      <c r="A38" s="99">
        <v>26</v>
      </c>
      <c r="B38" s="91"/>
      <c r="C38" s="92" t="s">
        <v>113</v>
      </c>
      <c r="D38" s="93"/>
      <c r="E38" s="94"/>
      <c r="F38" s="26" t="s">
        <v>114</v>
      </c>
      <c r="G38" s="90" t="s">
        <v>40</v>
      </c>
      <c r="H38" s="91"/>
      <c r="I38" s="90" t="s">
        <v>41</v>
      </c>
      <c r="J38" s="91"/>
      <c r="K38" s="28">
        <v>20</v>
      </c>
      <c r="L38" s="28">
        <v>0</v>
      </c>
      <c r="M38" s="28">
        <v>20</v>
      </c>
      <c r="N38" s="95">
        <v>0</v>
      </c>
      <c r="O38" s="96"/>
      <c r="P38" s="28">
        <v>20</v>
      </c>
      <c r="Q38" s="28"/>
      <c r="R38" s="100" t="s">
        <v>172</v>
      </c>
      <c r="S38" s="96"/>
      <c r="T38" s="28"/>
      <c r="U38" s="28"/>
      <c r="V38" s="28">
        <f t="shared" si="0"/>
        <v>0</v>
      </c>
      <c r="W38" s="30">
        <v>0</v>
      </c>
      <c r="X38" s="95">
        <v>0</v>
      </c>
      <c r="Y38" s="96"/>
      <c r="Z38" s="28">
        <f t="shared" si="1"/>
        <v>60</v>
      </c>
      <c r="AA38" s="28"/>
      <c r="AB38" s="28"/>
      <c r="AC38" s="28"/>
      <c r="AD38" s="28"/>
      <c r="AE38" s="28"/>
      <c r="AF38" s="28"/>
      <c r="AG38" s="28"/>
      <c r="AH38" s="95"/>
      <c r="AI38" s="96"/>
      <c r="AJ38" s="28"/>
      <c r="AK38" s="28"/>
      <c r="AL38" s="28"/>
      <c r="AM38" s="28"/>
      <c r="AN38" s="95"/>
      <c r="AO38" s="96"/>
      <c r="AP38" s="28"/>
      <c r="AQ38" s="28"/>
      <c r="AR38" s="28"/>
      <c r="AS38" s="28"/>
      <c r="AT38" s="95"/>
      <c r="AU38" s="96"/>
      <c r="AV38" s="20"/>
    </row>
    <row r="39" spans="1:48" ht="13.75" customHeight="1">
      <c r="A39" s="99">
        <v>27</v>
      </c>
      <c r="B39" s="91"/>
      <c r="C39" s="92" t="s">
        <v>116</v>
      </c>
      <c r="D39" s="93"/>
      <c r="E39" s="94"/>
      <c r="F39" s="26" t="s">
        <v>117</v>
      </c>
      <c r="G39" s="90" t="s">
        <v>118</v>
      </c>
      <c r="H39" s="91"/>
      <c r="I39" s="90" t="s">
        <v>41</v>
      </c>
      <c r="J39" s="91"/>
      <c r="K39" s="34">
        <v>20</v>
      </c>
      <c r="L39" s="28">
        <v>0</v>
      </c>
      <c r="M39" s="28">
        <v>20</v>
      </c>
      <c r="N39" s="95">
        <v>0</v>
      </c>
      <c r="O39" s="96"/>
      <c r="P39" s="28">
        <v>20</v>
      </c>
      <c r="Q39" s="28"/>
      <c r="R39" s="95"/>
      <c r="S39" s="96"/>
      <c r="T39" s="28"/>
      <c r="U39" s="28"/>
      <c r="V39" s="28">
        <f t="shared" si="0"/>
        <v>0</v>
      </c>
      <c r="W39" s="30">
        <v>0</v>
      </c>
      <c r="X39" s="95">
        <v>60</v>
      </c>
      <c r="Y39" s="96"/>
      <c r="Z39" s="28">
        <f t="shared" si="1"/>
        <v>60</v>
      </c>
      <c r="AA39" s="28"/>
      <c r="AB39" s="28"/>
      <c r="AC39" s="28"/>
      <c r="AD39" s="28"/>
      <c r="AE39" s="28"/>
      <c r="AF39" s="28"/>
      <c r="AG39" s="28"/>
      <c r="AH39" s="95"/>
      <c r="AI39" s="96"/>
      <c r="AJ39" s="28"/>
      <c r="AK39" s="28"/>
      <c r="AL39" s="28"/>
      <c r="AM39" s="28"/>
      <c r="AN39" s="95"/>
      <c r="AO39" s="96"/>
      <c r="AP39" s="28"/>
      <c r="AQ39" s="28"/>
      <c r="AR39" s="28"/>
      <c r="AS39" s="28"/>
      <c r="AT39" s="95"/>
      <c r="AU39" s="96"/>
      <c r="AV39" s="20"/>
    </row>
    <row r="40" spans="1:48" ht="13.75" customHeight="1">
      <c r="A40" s="99">
        <v>28</v>
      </c>
      <c r="B40" s="91"/>
      <c r="C40" s="92" t="s">
        <v>120</v>
      </c>
      <c r="D40" s="93"/>
      <c r="E40" s="94"/>
      <c r="F40" s="26" t="s">
        <v>121</v>
      </c>
      <c r="G40" s="90" t="s">
        <v>40</v>
      </c>
      <c r="H40" s="91"/>
      <c r="I40" s="90" t="s">
        <v>41</v>
      </c>
      <c r="J40" s="91"/>
      <c r="K40" s="30">
        <v>20</v>
      </c>
      <c r="L40" s="28">
        <v>0</v>
      </c>
      <c r="M40" s="30">
        <v>20</v>
      </c>
      <c r="N40" s="95">
        <v>0</v>
      </c>
      <c r="O40" s="96"/>
      <c r="P40" s="30">
        <v>20</v>
      </c>
      <c r="Q40" s="28"/>
      <c r="R40" s="97">
        <v>100</v>
      </c>
      <c r="S40" s="96"/>
      <c r="T40" s="28"/>
      <c r="U40" s="28"/>
      <c r="V40" s="28">
        <f t="shared" si="0"/>
        <v>35.6</v>
      </c>
      <c r="W40" s="30">
        <v>89</v>
      </c>
      <c r="X40" s="95">
        <v>96</v>
      </c>
      <c r="Y40" s="96"/>
      <c r="Z40" s="28">
        <f t="shared" si="1"/>
        <v>95.6</v>
      </c>
      <c r="AA40" s="28"/>
      <c r="AB40" s="28"/>
      <c r="AC40" s="28"/>
      <c r="AD40" s="28"/>
      <c r="AE40" s="28"/>
      <c r="AF40" s="28"/>
      <c r="AG40" s="28"/>
      <c r="AH40" s="95"/>
      <c r="AI40" s="96"/>
      <c r="AJ40" s="28"/>
      <c r="AK40" s="28"/>
      <c r="AL40" s="28"/>
      <c r="AM40" s="28"/>
      <c r="AN40" s="95"/>
      <c r="AO40" s="96"/>
      <c r="AP40" s="28"/>
      <c r="AQ40" s="28"/>
      <c r="AR40" s="28"/>
      <c r="AS40" s="28"/>
      <c r="AT40" s="95"/>
      <c r="AU40" s="96"/>
      <c r="AV40" s="20"/>
    </row>
    <row r="41" spans="1:48" ht="13.75" customHeight="1">
      <c r="A41" s="99">
        <v>29</v>
      </c>
      <c r="B41" s="91"/>
      <c r="C41" s="92" t="s">
        <v>123</v>
      </c>
      <c r="D41" s="93"/>
      <c r="E41" s="94"/>
      <c r="F41" s="26" t="s">
        <v>124</v>
      </c>
      <c r="G41" s="90" t="s">
        <v>40</v>
      </c>
      <c r="H41" s="91"/>
      <c r="I41" s="90" t="s">
        <v>41</v>
      </c>
      <c r="J41" s="91"/>
      <c r="K41" s="30">
        <v>20</v>
      </c>
      <c r="L41" s="30">
        <v>2</v>
      </c>
      <c r="M41" s="30">
        <v>20</v>
      </c>
      <c r="N41" s="97">
        <v>3</v>
      </c>
      <c r="O41" s="96"/>
      <c r="P41" s="30">
        <v>20</v>
      </c>
      <c r="Q41" s="28"/>
      <c r="R41" s="95">
        <v>100</v>
      </c>
      <c r="S41" s="96"/>
      <c r="T41" s="28"/>
      <c r="U41" s="28"/>
      <c r="V41" s="28">
        <f t="shared" si="0"/>
        <v>4</v>
      </c>
      <c r="W41" s="30">
        <v>10</v>
      </c>
      <c r="X41" s="97">
        <v>70</v>
      </c>
      <c r="Y41" s="96"/>
      <c r="Z41" s="28">
        <f t="shared" si="1"/>
        <v>69</v>
      </c>
      <c r="AA41" s="28"/>
      <c r="AB41" s="28"/>
      <c r="AC41" s="28"/>
      <c r="AD41" s="28"/>
      <c r="AE41" s="28"/>
      <c r="AF41" s="28"/>
      <c r="AG41" s="28"/>
      <c r="AH41" s="95"/>
      <c r="AI41" s="96"/>
      <c r="AJ41" s="28"/>
      <c r="AK41" s="28"/>
      <c r="AL41" s="28"/>
      <c r="AM41" s="28"/>
      <c r="AN41" s="95"/>
      <c r="AO41" s="96"/>
      <c r="AP41" s="28"/>
      <c r="AQ41" s="28"/>
      <c r="AR41" s="28"/>
      <c r="AS41" s="28"/>
      <c r="AT41" s="95"/>
      <c r="AU41" s="96"/>
      <c r="AV41" s="20"/>
    </row>
    <row r="42" spans="1:48" ht="13.75" customHeight="1">
      <c r="A42" s="99">
        <v>30</v>
      </c>
      <c r="B42" s="91"/>
      <c r="C42" s="92" t="s">
        <v>126</v>
      </c>
      <c r="D42" s="93"/>
      <c r="E42" s="94"/>
      <c r="F42" s="26" t="s">
        <v>127</v>
      </c>
      <c r="G42" s="90" t="s">
        <v>40</v>
      </c>
      <c r="H42" s="91"/>
      <c r="I42" s="90" t="s">
        <v>41</v>
      </c>
      <c r="J42" s="91"/>
      <c r="K42" s="30">
        <v>20</v>
      </c>
      <c r="L42" s="30">
        <v>3</v>
      </c>
      <c r="M42" s="30">
        <v>20</v>
      </c>
      <c r="N42" s="95">
        <v>0</v>
      </c>
      <c r="O42" s="96"/>
      <c r="P42" s="30">
        <v>20</v>
      </c>
      <c r="Q42" s="28"/>
      <c r="R42" s="95">
        <v>100</v>
      </c>
      <c r="S42" s="96"/>
      <c r="T42" s="28"/>
      <c r="U42" s="28"/>
      <c r="V42" s="28">
        <f t="shared" si="0"/>
        <v>32</v>
      </c>
      <c r="W42" s="30">
        <v>80</v>
      </c>
      <c r="X42" s="97">
        <v>95</v>
      </c>
      <c r="Y42" s="96"/>
      <c r="Z42" s="28">
        <f t="shared" si="1"/>
        <v>95</v>
      </c>
      <c r="AA42" s="28"/>
      <c r="AB42" s="28"/>
      <c r="AC42" s="28"/>
      <c r="AD42" s="28"/>
      <c r="AE42" s="28"/>
      <c r="AF42" s="28"/>
      <c r="AG42" s="28"/>
      <c r="AH42" s="95"/>
      <c r="AI42" s="96"/>
      <c r="AJ42" s="28"/>
      <c r="AK42" s="28"/>
      <c r="AL42" s="28"/>
      <c r="AM42" s="28"/>
      <c r="AN42" s="95"/>
      <c r="AO42" s="96"/>
      <c r="AP42" s="28"/>
      <c r="AQ42" s="28"/>
      <c r="AR42" s="28"/>
      <c r="AS42" s="28"/>
      <c r="AT42" s="95"/>
      <c r="AU42" s="96"/>
      <c r="AV42" s="20"/>
    </row>
    <row r="43" spans="1:48" ht="13.75" customHeight="1">
      <c r="A43" s="99">
        <v>31</v>
      </c>
      <c r="B43" s="91"/>
      <c r="C43" s="92" t="s">
        <v>129</v>
      </c>
      <c r="D43" s="93"/>
      <c r="E43" s="94"/>
      <c r="F43" s="26" t="s">
        <v>130</v>
      </c>
      <c r="G43" s="90" t="s">
        <v>40</v>
      </c>
      <c r="H43" s="91"/>
      <c r="I43" s="90" t="s">
        <v>41</v>
      </c>
      <c r="J43" s="91"/>
      <c r="K43" s="30">
        <v>20</v>
      </c>
      <c r="L43" s="28">
        <v>0</v>
      </c>
      <c r="M43" s="30">
        <v>20</v>
      </c>
      <c r="N43" s="95">
        <v>0</v>
      </c>
      <c r="O43" s="96"/>
      <c r="P43" s="30">
        <v>20</v>
      </c>
      <c r="Q43" s="28"/>
      <c r="R43" s="101">
        <v>0</v>
      </c>
      <c r="S43" s="102"/>
      <c r="T43" s="28"/>
      <c r="U43" s="28"/>
      <c r="V43" s="28">
        <f t="shared" si="0"/>
        <v>36</v>
      </c>
      <c r="W43" s="30">
        <v>90</v>
      </c>
      <c r="X43" s="97">
        <v>95</v>
      </c>
      <c r="Y43" s="96"/>
      <c r="Z43" s="28">
        <f t="shared" si="1"/>
        <v>96</v>
      </c>
      <c r="AA43" s="33" t="s">
        <v>174</v>
      </c>
      <c r="AB43" s="28"/>
      <c r="AC43" s="28"/>
      <c r="AD43" s="28"/>
      <c r="AE43" s="28"/>
      <c r="AF43" s="28"/>
      <c r="AG43" s="28"/>
      <c r="AH43" s="95"/>
      <c r="AI43" s="96"/>
      <c r="AJ43" s="28"/>
      <c r="AK43" s="28"/>
      <c r="AL43" s="28"/>
      <c r="AM43" s="28"/>
      <c r="AN43" s="95"/>
      <c r="AO43" s="96"/>
      <c r="AP43" s="28"/>
      <c r="AQ43" s="28"/>
      <c r="AR43" s="28"/>
      <c r="AS43" s="28"/>
      <c r="AT43" s="95"/>
      <c r="AU43" s="96"/>
      <c r="AV43" s="20"/>
    </row>
    <row r="44" spans="1:48" ht="13.75" customHeight="1">
      <c r="A44" s="99">
        <v>32</v>
      </c>
      <c r="B44" s="91"/>
      <c r="C44" s="92" t="s">
        <v>132</v>
      </c>
      <c r="D44" s="93"/>
      <c r="E44" s="94"/>
      <c r="F44" s="26" t="s">
        <v>133</v>
      </c>
      <c r="G44" s="90" t="s">
        <v>40</v>
      </c>
      <c r="H44" s="91"/>
      <c r="I44" s="90" t="s">
        <v>41</v>
      </c>
      <c r="J44" s="91"/>
      <c r="K44" s="34">
        <v>20</v>
      </c>
      <c r="L44" s="28">
        <v>0</v>
      </c>
      <c r="M44" s="28">
        <v>20</v>
      </c>
      <c r="N44" s="95">
        <v>0</v>
      </c>
      <c r="O44" s="96"/>
      <c r="P44" s="28">
        <v>20</v>
      </c>
      <c r="Q44" s="28"/>
      <c r="R44" s="97">
        <v>100</v>
      </c>
      <c r="S44" s="96"/>
      <c r="T44" s="28"/>
      <c r="U44" s="28"/>
      <c r="V44" s="28">
        <f t="shared" si="0"/>
        <v>32</v>
      </c>
      <c r="W44" s="30">
        <v>80</v>
      </c>
      <c r="X44" s="95">
        <v>92</v>
      </c>
      <c r="Y44" s="96"/>
      <c r="Z44" s="28">
        <f t="shared" si="1"/>
        <v>92</v>
      </c>
      <c r="AA44" s="28"/>
      <c r="AB44" s="28"/>
      <c r="AC44" s="28"/>
      <c r="AD44" s="28"/>
      <c r="AE44" s="28"/>
      <c r="AF44" s="28"/>
      <c r="AG44" s="28"/>
      <c r="AH44" s="95"/>
      <c r="AI44" s="96"/>
      <c r="AJ44" s="28"/>
      <c r="AK44" s="28"/>
      <c r="AL44" s="28"/>
      <c r="AM44" s="28"/>
      <c r="AN44" s="95"/>
      <c r="AO44" s="96"/>
      <c r="AP44" s="28"/>
      <c r="AQ44" s="28"/>
      <c r="AR44" s="28"/>
      <c r="AS44" s="28"/>
      <c r="AT44" s="95"/>
      <c r="AU44" s="96"/>
      <c r="AV44" s="20"/>
    </row>
    <row r="45" spans="1:48" ht="13.75" customHeight="1">
      <c r="A45" s="99">
        <v>33</v>
      </c>
      <c r="B45" s="91"/>
      <c r="C45" s="92" t="s">
        <v>135</v>
      </c>
      <c r="D45" s="93"/>
      <c r="E45" s="94"/>
      <c r="F45" s="26" t="s">
        <v>136</v>
      </c>
      <c r="G45" s="90" t="s">
        <v>40</v>
      </c>
      <c r="H45" s="91"/>
      <c r="I45" s="90" t="s">
        <v>41</v>
      </c>
      <c r="J45" s="91"/>
      <c r="K45" s="34">
        <v>20</v>
      </c>
      <c r="L45" s="28">
        <v>0</v>
      </c>
      <c r="M45" s="28">
        <v>20</v>
      </c>
      <c r="N45" s="95">
        <v>0</v>
      </c>
      <c r="O45" s="96"/>
      <c r="P45" s="28">
        <v>20</v>
      </c>
      <c r="Q45" s="28"/>
      <c r="R45" s="95">
        <v>100</v>
      </c>
      <c r="S45" s="96"/>
      <c r="T45" s="28"/>
      <c r="U45" s="28"/>
      <c r="V45" s="28">
        <f t="shared" si="0"/>
        <v>0</v>
      </c>
      <c r="W45" s="30">
        <v>0</v>
      </c>
      <c r="X45" s="95">
        <v>60</v>
      </c>
      <c r="Y45" s="96"/>
      <c r="Z45" s="28">
        <f t="shared" si="1"/>
        <v>60</v>
      </c>
      <c r="AA45" s="28"/>
      <c r="AB45" s="28"/>
      <c r="AC45" s="28"/>
      <c r="AD45" s="28"/>
      <c r="AE45" s="28"/>
      <c r="AF45" s="28"/>
      <c r="AG45" s="28"/>
      <c r="AH45" s="95"/>
      <c r="AI45" s="96"/>
      <c r="AJ45" s="28"/>
      <c r="AK45" s="28"/>
      <c r="AL45" s="28"/>
      <c r="AM45" s="28"/>
      <c r="AN45" s="95"/>
      <c r="AO45" s="96"/>
      <c r="AP45" s="28"/>
      <c r="AQ45" s="28"/>
      <c r="AR45" s="28"/>
      <c r="AS45" s="28"/>
      <c r="AT45" s="95"/>
      <c r="AU45" s="96"/>
      <c r="AV45" s="32"/>
    </row>
    <row r="46" spans="1:48" ht="13.75" customHeight="1">
      <c r="A46" s="99">
        <v>34</v>
      </c>
      <c r="B46" s="91"/>
      <c r="C46" s="92" t="s">
        <v>138</v>
      </c>
      <c r="D46" s="93"/>
      <c r="E46" s="94"/>
      <c r="F46" s="26" t="s">
        <v>139</v>
      </c>
      <c r="G46" s="90" t="s">
        <v>40</v>
      </c>
      <c r="H46" s="91"/>
      <c r="I46" s="90" t="s">
        <v>41</v>
      </c>
      <c r="J46" s="91"/>
      <c r="K46" s="30">
        <v>20</v>
      </c>
      <c r="L46" s="30">
        <v>2</v>
      </c>
      <c r="M46" s="30">
        <v>20</v>
      </c>
      <c r="N46" s="97">
        <v>3</v>
      </c>
      <c r="O46" s="96"/>
      <c r="P46" s="30">
        <v>20</v>
      </c>
      <c r="Q46" s="28"/>
      <c r="R46" s="97">
        <v>100</v>
      </c>
      <c r="S46" s="96"/>
      <c r="T46" s="28"/>
      <c r="U46" s="28"/>
      <c r="V46" s="28">
        <f t="shared" si="0"/>
        <v>16</v>
      </c>
      <c r="W46" s="30">
        <v>40</v>
      </c>
      <c r="X46" s="97">
        <v>81</v>
      </c>
      <c r="Y46" s="96"/>
      <c r="Z46" s="28">
        <f t="shared" si="1"/>
        <v>81</v>
      </c>
      <c r="AA46" s="28"/>
      <c r="AB46" s="28"/>
      <c r="AC46" s="28"/>
      <c r="AD46" s="28"/>
      <c r="AE46" s="28"/>
      <c r="AF46" s="28"/>
      <c r="AG46" s="28"/>
      <c r="AH46" s="95"/>
      <c r="AI46" s="96"/>
      <c r="AJ46" s="28"/>
      <c r="AK46" s="28"/>
      <c r="AL46" s="28"/>
      <c r="AM46" s="28"/>
      <c r="AN46" s="95"/>
      <c r="AO46" s="96"/>
      <c r="AP46" s="28"/>
      <c r="AQ46" s="28"/>
      <c r="AR46" s="28"/>
      <c r="AS46" s="28"/>
      <c r="AT46" s="95"/>
      <c r="AU46" s="96"/>
      <c r="AV46" s="20"/>
    </row>
    <row r="47" spans="1:48" ht="13.75" customHeight="1">
      <c r="A47" s="99">
        <v>35</v>
      </c>
      <c r="B47" s="91"/>
      <c r="C47" s="92" t="s">
        <v>141</v>
      </c>
      <c r="D47" s="93"/>
      <c r="E47" s="94"/>
      <c r="F47" s="26" t="s">
        <v>142</v>
      </c>
      <c r="G47" s="90" t="s">
        <v>40</v>
      </c>
      <c r="H47" s="91"/>
      <c r="I47" s="90" t="s">
        <v>41</v>
      </c>
      <c r="J47" s="91"/>
      <c r="K47" s="34">
        <v>20</v>
      </c>
      <c r="L47" s="30">
        <v>1</v>
      </c>
      <c r="M47" s="28">
        <v>20</v>
      </c>
      <c r="N47" s="95">
        <v>0</v>
      </c>
      <c r="O47" s="96"/>
      <c r="P47" s="28">
        <v>20</v>
      </c>
      <c r="Q47" s="28"/>
      <c r="R47" s="97">
        <v>100</v>
      </c>
      <c r="S47" s="96"/>
      <c r="T47" s="28"/>
      <c r="U47" s="28"/>
      <c r="V47" s="28">
        <f t="shared" si="0"/>
        <v>32</v>
      </c>
      <c r="W47" s="30">
        <v>80</v>
      </c>
      <c r="X47" s="97">
        <v>93</v>
      </c>
      <c r="Y47" s="96"/>
      <c r="Z47" s="28">
        <f t="shared" si="1"/>
        <v>93</v>
      </c>
      <c r="AA47" s="28"/>
      <c r="AB47" s="28"/>
      <c r="AC47" s="28"/>
      <c r="AD47" s="28"/>
      <c r="AE47" s="28"/>
      <c r="AF47" s="28"/>
      <c r="AG47" s="28"/>
      <c r="AH47" s="95"/>
      <c r="AI47" s="96"/>
      <c r="AJ47" s="28"/>
      <c r="AK47" s="28"/>
      <c r="AL47" s="28"/>
      <c r="AM47" s="28"/>
      <c r="AN47" s="95"/>
      <c r="AO47" s="96"/>
      <c r="AP47" s="28"/>
      <c r="AQ47" s="28"/>
      <c r="AR47" s="28"/>
      <c r="AS47" s="28"/>
      <c r="AT47" s="95"/>
      <c r="AU47" s="96"/>
      <c r="AV47" s="20"/>
    </row>
    <row r="48" spans="1:48" ht="15">
      <c r="A48" s="99">
        <v>36</v>
      </c>
      <c r="B48" s="91"/>
      <c r="C48" s="92" t="s">
        <v>144</v>
      </c>
      <c r="D48" s="93"/>
      <c r="E48" s="94"/>
      <c r="F48" s="26" t="s">
        <v>145</v>
      </c>
      <c r="G48" s="90" t="s">
        <v>40</v>
      </c>
      <c r="H48" s="91"/>
      <c r="I48" s="90" t="s">
        <v>41</v>
      </c>
      <c r="J48" s="91"/>
      <c r="K48" s="34">
        <v>0</v>
      </c>
      <c r="L48" s="28">
        <v>0</v>
      </c>
      <c r="M48" s="28">
        <v>0</v>
      </c>
      <c r="N48" s="95">
        <v>0</v>
      </c>
      <c r="O48" s="96"/>
      <c r="P48" s="28">
        <v>0</v>
      </c>
      <c r="Q48" s="28"/>
      <c r="R48" s="100" t="s">
        <v>171</v>
      </c>
      <c r="S48" s="96"/>
      <c r="T48" s="28"/>
      <c r="U48" s="28"/>
      <c r="V48" s="28">
        <f t="shared" si="0"/>
        <v>0</v>
      </c>
      <c r="W48" s="30">
        <v>0</v>
      </c>
      <c r="X48" s="95">
        <v>0</v>
      </c>
      <c r="Y48" s="96"/>
      <c r="Z48" s="28">
        <f t="shared" si="1"/>
        <v>0</v>
      </c>
      <c r="AA48" s="28"/>
      <c r="AB48" s="28"/>
      <c r="AC48" s="28"/>
      <c r="AD48" s="28"/>
      <c r="AE48" s="28"/>
      <c r="AF48" s="28"/>
      <c r="AG48" s="28"/>
      <c r="AH48" s="95"/>
      <c r="AI48" s="96"/>
      <c r="AJ48" s="28"/>
      <c r="AK48" s="28"/>
      <c r="AL48" s="28"/>
      <c r="AM48" s="28"/>
      <c r="AN48" s="95"/>
      <c r="AO48" s="96"/>
      <c r="AP48" s="28"/>
      <c r="AQ48" s="28"/>
      <c r="AR48" s="28"/>
      <c r="AS48" s="28"/>
      <c r="AT48" s="95"/>
      <c r="AU48" s="96"/>
      <c r="AV48" s="20"/>
    </row>
    <row r="49" spans="1:48" ht="13.75" customHeight="1">
      <c r="A49" s="99">
        <v>37</v>
      </c>
      <c r="B49" s="91"/>
      <c r="C49" s="92" t="s">
        <v>147</v>
      </c>
      <c r="D49" s="93"/>
      <c r="E49" s="94"/>
      <c r="F49" s="26" t="s">
        <v>148</v>
      </c>
      <c r="G49" s="90" t="s">
        <v>40</v>
      </c>
      <c r="H49" s="91"/>
      <c r="I49" s="90" t="s">
        <v>41</v>
      </c>
      <c r="J49" s="91"/>
      <c r="K49" s="30">
        <v>20</v>
      </c>
      <c r="L49" s="28">
        <v>0</v>
      </c>
      <c r="M49" s="30">
        <v>20</v>
      </c>
      <c r="N49" s="95">
        <v>0</v>
      </c>
      <c r="O49" s="96"/>
      <c r="P49" s="30">
        <v>20</v>
      </c>
      <c r="Q49" s="28"/>
      <c r="R49" s="97">
        <v>100</v>
      </c>
      <c r="S49" s="96"/>
      <c r="T49" s="28"/>
      <c r="U49" s="28"/>
      <c r="V49" s="28">
        <f t="shared" si="0"/>
        <v>36</v>
      </c>
      <c r="W49" s="30">
        <v>90</v>
      </c>
      <c r="X49" s="97">
        <v>100</v>
      </c>
      <c r="Y49" s="96"/>
      <c r="Z49" s="28">
        <f t="shared" si="1"/>
        <v>96</v>
      </c>
      <c r="AA49" s="28"/>
      <c r="AB49" s="28"/>
      <c r="AC49" s="28"/>
      <c r="AD49" s="28"/>
      <c r="AE49" s="28"/>
      <c r="AF49" s="28"/>
      <c r="AG49" s="28"/>
      <c r="AH49" s="95"/>
      <c r="AI49" s="96"/>
      <c r="AJ49" s="28"/>
      <c r="AK49" s="28"/>
      <c r="AL49" s="28"/>
      <c r="AM49" s="28"/>
      <c r="AN49" s="95"/>
      <c r="AO49" s="96"/>
      <c r="AP49" s="28"/>
      <c r="AQ49" s="28"/>
      <c r="AR49" s="28"/>
      <c r="AS49" s="28"/>
      <c r="AT49" s="95"/>
      <c r="AU49" s="96"/>
      <c r="AV49" s="20"/>
    </row>
    <row r="50" spans="1:48" ht="15" customHeight="1">
      <c r="A50" s="114"/>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c r="AA50" s="116"/>
      <c r="AB50" s="115"/>
      <c r="AC50" s="115"/>
      <c r="AD50" s="115"/>
      <c r="AE50" s="115"/>
      <c r="AF50" s="115"/>
      <c r="AG50" s="115"/>
      <c r="AH50" s="115"/>
      <c r="AI50" s="115"/>
      <c r="AJ50" s="115"/>
      <c r="AK50" s="115"/>
      <c r="AL50" s="115"/>
      <c r="AM50" s="115"/>
      <c r="AN50" s="115"/>
      <c r="AO50" s="115"/>
      <c r="AP50" s="115"/>
      <c r="AQ50" s="115"/>
      <c r="AR50" s="115"/>
      <c r="AS50" s="115"/>
      <c r="AT50" s="115"/>
      <c r="AU50" s="115"/>
      <c r="AV50" s="117"/>
    </row>
    <row r="51" spans="1:48" ht="15" customHeight="1">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58"/>
      <c r="AB51" s="104"/>
      <c r="AC51" s="104"/>
      <c r="AD51" s="104"/>
      <c r="AE51" s="104"/>
      <c r="AF51" s="104"/>
      <c r="AG51" s="104"/>
      <c r="AH51" s="104"/>
      <c r="AI51" s="104"/>
      <c r="AJ51" s="104"/>
      <c r="AK51" s="104"/>
      <c r="AL51" s="104"/>
      <c r="AM51" s="104"/>
      <c r="AN51" s="104"/>
      <c r="AO51" s="104"/>
      <c r="AP51" s="104"/>
      <c r="AQ51" s="104"/>
      <c r="AR51" s="104"/>
      <c r="AS51" s="104"/>
      <c r="AT51" s="104"/>
      <c r="AU51" s="104"/>
      <c r="AV51" s="105"/>
    </row>
    <row r="52" spans="1:48" ht="15" customHeight="1">
      <c r="A52" s="103"/>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58"/>
      <c r="AB52" s="104"/>
      <c r="AC52" s="104"/>
      <c r="AD52" s="104"/>
      <c r="AE52" s="104"/>
      <c r="AF52" s="104"/>
      <c r="AG52" s="104"/>
      <c r="AH52" s="104"/>
      <c r="AI52" s="104"/>
      <c r="AJ52" s="104"/>
      <c r="AK52" s="104"/>
      <c r="AL52" s="104"/>
      <c r="AM52" s="104"/>
      <c r="AN52" s="104"/>
      <c r="AO52" s="104"/>
      <c r="AP52" s="104"/>
      <c r="AQ52" s="104"/>
      <c r="AR52" s="104"/>
      <c r="AS52" s="104"/>
      <c r="AT52" s="104"/>
      <c r="AU52" s="104"/>
      <c r="AV52" s="105"/>
    </row>
    <row r="53" spans="1:48" ht="15" customHeight="1">
      <c r="A53" s="103"/>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58"/>
      <c r="AB53" s="104"/>
      <c r="AC53" s="104"/>
      <c r="AD53" s="104"/>
      <c r="AE53" s="104"/>
      <c r="AF53" s="104"/>
      <c r="AG53" s="104"/>
      <c r="AH53" s="104"/>
      <c r="AI53" s="104"/>
      <c r="AJ53" s="104"/>
      <c r="AK53" s="104"/>
      <c r="AL53" s="104"/>
      <c r="AM53" s="104"/>
      <c r="AN53" s="104"/>
      <c r="AO53" s="104"/>
      <c r="AP53" s="104"/>
      <c r="AQ53" s="104"/>
      <c r="AR53" s="104"/>
      <c r="AS53" s="104"/>
      <c r="AT53" s="104"/>
      <c r="AU53" s="104"/>
      <c r="AV53" s="105"/>
    </row>
    <row r="54" spans="1:48" ht="15" customHeight="1">
      <c r="A54" s="103"/>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58"/>
      <c r="AB54" s="104"/>
      <c r="AC54" s="104"/>
      <c r="AD54" s="104"/>
      <c r="AE54" s="104"/>
      <c r="AF54" s="104"/>
      <c r="AG54" s="104"/>
      <c r="AH54" s="104"/>
      <c r="AI54" s="104"/>
      <c r="AJ54" s="104"/>
      <c r="AK54" s="104"/>
      <c r="AL54" s="104"/>
      <c r="AM54" s="104"/>
      <c r="AN54" s="104"/>
      <c r="AO54" s="104"/>
      <c r="AP54" s="104"/>
      <c r="AQ54" s="104"/>
      <c r="AR54" s="104"/>
      <c r="AS54" s="104"/>
      <c r="AT54" s="104"/>
      <c r="AU54" s="104"/>
      <c r="AV54" s="105"/>
    </row>
    <row r="55" spans="1:48" ht="15" customHeight="1">
      <c r="A55" s="103"/>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58"/>
      <c r="AB55" s="104"/>
      <c r="AC55" s="104"/>
      <c r="AD55" s="104"/>
      <c r="AE55" s="104"/>
      <c r="AF55" s="104"/>
      <c r="AG55" s="104"/>
      <c r="AH55" s="104"/>
      <c r="AI55" s="104"/>
      <c r="AJ55" s="104"/>
      <c r="AK55" s="104"/>
      <c r="AL55" s="104"/>
      <c r="AM55" s="104"/>
      <c r="AN55" s="104"/>
      <c r="AO55" s="104"/>
      <c r="AP55" s="104"/>
      <c r="AQ55" s="104"/>
      <c r="AR55" s="104"/>
      <c r="AS55" s="104"/>
      <c r="AT55" s="104"/>
      <c r="AU55" s="104"/>
      <c r="AV55" s="105"/>
    </row>
    <row r="56" spans="1:48" ht="15" customHeight="1">
      <c r="A56" s="103"/>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58"/>
      <c r="AB56" s="104"/>
      <c r="AC56" s="104"/>
      <c r="AD56" s="104"/>
      <c r="AE56" s="104"/>
      <c r="AF56" s="104"/>
      <c r="AG56" s="104"/>
      <c r="AH56" s="104"/>
      <c r="AI56" s="104"/>
      <c r="AJ56" s="104"/>
      <c r="AK56" s="104"/>
      <c r="AL56" s="104"/>
      <c r="AM56" s="104"/>
      <c r="AN56" s="104"/>
      <c r="AO56" s="104"/>
      <c r="AP56" s="104"/>
      <c r="AQ56" s="104"/>
      <c r="AR56" s="104"/>
      <c r="AS56" s="104"/>
      <c r="AT56" s="104"/>
      <c r="AU56" s="104"/>
      <c r="AV56" s="105"/>
    </row>
    <row r="57" spans="1:48" ht="15" customHeight="1">
      <c r="A57" s="103"/>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58"/>
      <c r="AB57" s="104"/>
      <c r="AC57" s="104"/>
      <c r="AD57" s="104"/>
      <c r="AE57" s="104"/>
      <c r="AF57" s="104"/>
      <c r="AG57" s="104"/>
      <c r="AH57" s="104"/>
      <c r="AI57" s="104"/>
      <c r="AJ57" s="104"/>
      <c r="AK57" s="104"/>
      <c r="AL57" s="104"/>
      <c r="AM57" s="104"/>
      <c r="AN57" s="104"/>
      <c r="AO57" s="104"/>
      <c r="AP57" s="104"/>
      <c r="AQ57" s="104"/>
      <c r="AR57" s="104"/>
      <c r="AS57" s="104"/>
      <c r="AT57" s="104"/>
      <c r="AU57" s="104"/>
      <c r="AV57" s="105"/>
    </row>
    <row r="58" spans="1:48" ht="15" customHeight="1">
      <c r="A58" s="106"/>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62"/>
      <c r="AB58" s="107"/>
      <c r="AC58" s="107"/>
      <c r="AD58" s="107"/>
      <c r="AE58" s="107"/>
      <c r="AF58" s="107"/>
      <c r="AG58" s="107"/>
      <c r="AH58" s="107"/>
      <c r="AI58" s="107"/>
      <c r="AJ58" s="107"/>
      <c r="AK58" s="107"/>
      <c r="AL58" s="107"/>
      <c r="AM58" s="107"/>
      <c r="AN58" s="107"/>
      <c r="AO58" s="107"/>
      <c r="AP58" s="107"/>
      <c r="AQ58" s="107"/>
      <c r="AR58" s="107"/>
      <c r="AS58" s="107"/>
      <c r="AT58" s="107"/>
      <c r="AU58" s="107"/>
      <c r="AV58" s="108"/>
    </row>
    <row r="59" spans="1:48" ht="15" customHeight="1">
      <c r="A59" s="95"/>
      <c r="B59" s="96"/>
      <c r="C59" s="95"/>
      <c r="D59" s="96"/>
      <c r="E59" s="95"/>
      <c r="F59" s="96"/>
      <c r="G59" s="95"/>
      <c r="H59" s="96"/>
      <c r="I59" s="95"/>
      <c r="J59" s="96"/>
      <c r="K59" s="95"/>
      <c r="L59" s="96"/>
      <c r="M59" s="95"/>
      <c r="N59" s="96"/>
      <c r="O59" s="95"/>
      <c r="P59" s="96"/>
      <c r="Q59" s="95"/>
      <c r="R59" s="96"/>
      <c r="S59" s="95"/>
      <c r="T59" s="96"/>
      <c r="U59" s="95"/>
      <c r="V59" s="96"/>
      <c r="W59" s="95"/>
      <c r="X59" s="96"/>
      <c r="Y59" s="95"/>
      <c r="Z59" s="96"/>
      <c r="AA59" s="109"/>
      <c r="AB59" s="95"/>
      <c r="AC59" s="96"/>
      <c r="AD59" s="95"/>
      <c r="AE59" s="96"/>
      <c r="AF59" s="95"/>
      <c r="AG59" s="96"/>
      <c r="AH59" s="95"/>
      <c r="AI59" s="96"/>
      <c r="AJ59" s="95"/>
      <c r="AK59" s="96"/>
      <c r="AL59" s="95"/>
      <c r="AM59" s="96"/>
      <c r="AN59" s="95"/>
      <c r="AO59" s="96"/>
      <c r="AP59" s="95"/>
      <c r="AQ59" s="96"/>
      <c r="AR59" s="95"/>
      <c r="AS59" s="96"/>
      <c r="AT59" s="95"/>
      <c r="AU59" s="96"/>
      <c r="AV59" s="110"/>
    </row>
  </sheetData>
  <mergeCells count="428">
    <mergeCell ref="A58:AV58"/>
    <mergeCell ref="A59:AV59"/>
    <mergeCell ref="A12:B12"/>
    <mergeCell ref="C12:E12"/>
    <mergeCell ref="G12:H12"/>
    <mergeCell ref="I12:J12"/>
    <mergeCell ref="N12:O12"/>
    <mergeCell ref="R12:S12"/>
    <mergeCell ref="X12:Y12"/>
    <mergeCell ref="AH12:AI12"/>
    <mergeCell ref="AN12:AO12"/>
    <mergeCell ref="AT12:AU12"/>
    <mergeCell ref="A36:B36"/>
    <mergeCell ref="C36:E36"/>
    <mergeCell ref="G36:H36"/>
    <mergeCell ref="I36:J36"/>
    <mergeCell ref="N36:O36"/>
    <mergeCell ref="R36:S36"/>
    <mergeCell ref="X36:Y36"/>
    <mergeCell ref="AH36:AI36"/>
    <mergeCell ref="AN36:AO36"/>
    <mergeCell ref="AT36:AU36"/>
    <mergeCell ref="AT49:AU49"/>
    <mergeCell ref="A50:AV50"/>
    <mergeCell ref="A51:AV51"/>
    <mergeCell ref="A52:AV52"/>
    <mergeCell ref="A53:AV53"/>
    <mergeCell ref="A54:AV54"/>
    <mergeCell ref="A55:AV55"/>
    <mergeCell ref="A56:AV56"/>
    <mergeCell ref="A57:AV57"/>
    <mergeCell ref="A49:B49"/>
    <mergeCell ref="C49:E49"/>
    <mergeCell ref="G49:H49"/>
    <mergeCell ref="I49:J49"/>
    <mergeCell ref="N49:O49"/>
    <mergeCell ref="R49:S49"/>
    <mergeCell ref="X49:Y49"/>
    <mergeCell ref="AH49:AI49"/>
    <mergeCell ref="AN49:AO49"/>
    <mergeCell ref="AT47:AU47"/>
    <mergeCell ref="A48:B48"/>
    <mergeCell ref="C48:E48"/>
    <mergeCell ref="G48:H48"/>
    <mergeCell ref="I48:J48"/>
    <mergeCell ref="N48:O48"/>
    <mergeCell ref="R48:S48"/>
    <mergeCell ref="X48:Y48"/>
    <mergeCell ref="AH48:AI48"/>
    <mergeCell ref="AN48:AO48"/>
    <mergeCell ref="AT48:AU48"/>
    <mergeCell ref="A47:B47"/>
    <mergeCell ref="C47:E47"/>
    <mergeCell ref="G47:H47"/>
    <mergeCell ref="I47:J47"/>
    <mergeCell ref="N47:O47"/>
    <mergeCell ref="R47:S47"/>
    <mergeCell ref="X47:Y47"/>
    <mergeCell ref="AH47:AI47"/>
    <mergeCell ref="AN47:AO47"/>
    <mergeCell ref="AT45:AU45"/>
    <mergeCell ref="A46:B46"/>
    <mergeCell ref="C46:E46"/>
    <mergeCell ref="G46:H46"/>
    <mergeCell ref="I46:J46"/>
    <mergeCell ref="N46:O46"/>
    <mergeCell ref="R46:S46"/>
    <mergeCell ref="X46:Y46"/>
    <mergeCell ref="AH46:AI46"/>
    <mergeCell ref="AN46:AO46"/>
    <mergeCell ref="AT46:AU46"/>
    <mergeCell ref="A45:B45"/>
    <mergeCell ref="C45:E45"/>
    <mergeCell ref="G45:H45"/>
    <mergeCell ref="I45:J45"/>
    <mergeCell ref="N45:O45"/>
    <mergeCell ref="R45:S45"/>
    <mergeCell ref="X45:Y45"/>
    <mergeCell ref="AH45:AI45"/>
    <mergeCell ref="AN45:AO45"/>
    <mergeCell ref="AT43:AU43"/>
    <mergeCell ref="A44:B44"/>
    <mergeCell ref="C44:E44"/>
    <mergeCell ref="G44:H44"/>
    <mergeCell ref="I44:J44"/>
    <mergeCell ref="N44:O44"/>
    <mergeCell ref="R44:S44"/>
    <mergeCell ref="X44:Y44"/>
    <mergeCell ref="AH44:AI44"/>
    <mergeCell ref="AN44:AO44"/>
    <mergeCell ref="AT44:AU44"/>
    <mergeCell ref="A43:B43"/>
    <mergeCell ref="C43:E43"/>
    <mergeCell ref="G43:H43"/>
    <mergeCell ref="I43:J43"/>
    <mergeCell ref="N43:O43"/>
    <mergeCell ref="R43:S43"/>
    <mergeCell ref="X43:Y43"/>
    <mergeCell ref="AH43:AI43"/>
    <mergeCell ref="AN43:AO43"/>
    <mergeCell ref="AT41:AU41"/>
    <mergeCell ref="A42:B42"/>
    <mergeCell ref="C42:E42"/>
    <mergeCell ref="G42:H42"/>
    <mergeCell ref="I42:J42"/>
    <mergeCell ref="N42:O42"/>
    <mergeCell ref="R42:S42"/>
    <mergeCell ref="X42:Y42"/>
    <mergeCell ref="AH42:AI42"/>
    <mergeCell ref="AN42:AO42"/>
    <mergeCell ref="AT42:AU42"/>
    <mergeCell ref="A41:B41"/>
    <mergeCell ref="C41:E41"/>
    <mergeCell ref="G41:H41"/>
    <mergeCell ref="I41:J41"/>
    <mergeCell ref="N41:O41"/>
    <mergeCell ref="R41:S41"/>
    <mergeCell ref="X41:Y41"/>
    <mergeCell ref="AH41:AI41"/>
    <mergeCell ref="AN41:AO41"/>
    <mergeCell ref="AT39:AU39"/>
    <mergeCell ref="A40:B40"/>
    <mergeCell ref="C40:E40"/>
    <mergeCell ref="G40:H40"/>
    <mergeCell ref="I40:J40"/>
    <mergeCell ref="N40:O40"/>
    <mergeCell ref="R40:S40"/>
    <mergeCell ref="X40:Y40"/>
    <mergeCell ref="AH40:AI40"/>
    <mergeCell ref="AN40:AO40"/>
    <mergeCell ref="AT40:AU40"/>
    <mergeCell ref="A39:B39"/>
    <mergeCell ref="C39:E39"/>
    <mergeCell ref="G39:H39"/>
    <mergeCell ref="I39:J39"/>
    <mergeCell ref="N39:O39"/>
    <mergeCell ref="R39:S39"/>
    <mergeCell ref="X39:Y39"/>
    <mergeCell ref="AH39:AI39"/>
    <mergeCell ref="AN39:AO39"/>
    <mergeCell ref="AT37:AU37"/>
    <mergeCell ref="A38:B38"/>
    <mergeCell ref="C38:E38"/>
    <mergeCell ref="G38:H38"/>
    <mergeCell ref="I38:J38"/>
    <mergeCell ref="N38:O38"/>
    <mergeCell ref="R38:S38"/>
    <mergeCell ref="X38:Y38"/>
    <mergeCell ref="AH38:AI38"/>
    <mergeCell ref="AN38:AO38"/>
    <mergeCell ref="AT38:AU38"/>
    <mergeCell ref="A37:B37"/>
    <mergeCell ref="C37:E37"/>
    <mergeCell ref="G37:H37"/>
    <mergeCell ref="I37:J37"/>
    <mergeCell ref="N37:O37"/>
    <mergeCell ref="R37:S37"/>
    <mergeCell ref="X37:Y37"/>
    <mergeCell ref="AH37:AI37"/>
    <mergeCell ref="AN37:AO37"/>
    <mergeCell ref="AT34:AU34"/>
    <mergeCell ref="A35:B35"/>
    <mergeCell ref="C35:E35"/>
    <mergeCell ref="G35:H35"/>
    <mergeCell ref="I35:J35"/>
    <mergeCell ref="N35:O35"/>
    <mergeCell ref="R35:S35"/>
    <mergeCell ref="X35:Y35"/>
    <mergeCell ref="AH35:AI35"/>
    <mergeCell ref="AN35:AO35"/>
    <mergeCell ref="AT35:AU35"/>
    <mergeCell ref="A34:B34"/>
    <mergeCell ref="C34:E34"/>
    <mergeCell ref="G34:H34"/>
    <mergeCell ref="I34:J34"/>
    <mergeCell ref="N34:O34"/>
    <mergeCell ref="R34:S34"/>
    <mergeCell ref="X34:Y34"/>
    <mergeCell ref="AH34:AI34"/>
    <mergeCell ref="AN34:AO34"/>
    <mergeCell ref="AT32:AU32"/>
    <mergeCell ref="A33:B33"/>
    <mergeCell ref="C33:E33"/>
    <mergeCell ref="G33:H33"/>
    <mergeCell ref="I33:J33"/>
    <mergeCell ref="N33:O33"/>
    <mergeCell ref="R33:S33"/>
    <mergeCell ref="X33:Y33"/>
    <mergeCell ref="AH33:AI33"/>
    <mergeCell ref="AN33:AO33"/>
    <mergeCell ref="AT33:AU33"/>
    <mergeCell ref="A32:B32"/>
    <mergeCell ref="C32:E32"/>
    <mergeCell ref="G32:H32"/>
    <mergeCell ref="I32:J32"/>
    <mergeCell ref="N32:O32"/>
    <mergeCell ref="R32:S32"/>
    <mergeCell ref="X32:Y32"/>
    <mergeCell ref="AH32:AI32"/>
    <mergeCell ref="AN32:AO32"/>
    <mergeCell ref="AT30:AU30"/>
    <mergeCell ref="A31:B31"/>
    <mergeCell ref="C31:E31"/>
    <mergeCell ref="G31:H31"/>
    <mergeCell ref="I31:J31"/>
    <mergeCell ref="N31:O31"/>
    <mergeCell ref="R31:S31"/>
    <mergeCell ref="X31:Y31"/>
    <mergeCell ref="AH31:AI31"/>
    <mergeCell ref="AN31:AO31"/>
    <mergeCell ref="AT31:AU31"/>
    <mergeCell ref="A30:B30"/>
    <mergeCell ref="C30:E30"/>
    <mergeCell ref="G30:H30"/>
    <mergeCell ref="I30:J30"/>
    <mergeCell ref="N30:O30"/>
    <mergeCell ref="R30:S30"/>
    <mergeCell ref="X30:Y30"/>
    <mergeCell ref="AH30:AI30"/>
    <mergeCell ref="AN30:AO30"/>
    <mergeCell ref="AT28:AU28"/>
    <mergeCell ref="A29:B29"/>
    <mergeCell ref="C29:E29"/>
    <mergeCell ref="G29:H29"/>
    <mergeCell ref="I29:J29"/>
    <mergeCell ref="N29:O29"/>
    <mergeCell ref="R29:S29"/>
    <mergeCell ref="X29:Y29"/>
    <mergeCell ref="AH29:AI29"/>
    <mergeCell ref="AN29:AO29"/>
    <mergeCell ref="AT29:AU29"/>
    <mergeCell ref="A28:B28"/>
    <mergeCell ref="C28:E28"/>
    <mergeCell ref="G28:H28"/>
    <mergeCell ref="I28:J28"/>
    <mergeCell ref="N28:O28"/>
    <mergeCell ref="R28:S28"/>
    <mergeCell ref="X28:Y28"/>
    <mergeCell ref="AH28:AI28"/>
    <mergeCell ref="AN28:AO28"/>
    <mergeCell ref="AT26:AU26"/>
    <mergeCell ref="A27:B27"/>
    <mergeCell ref="C27:E27"/>
    <mergeCell ref="G27:H27"/>
    <mergeCell ref="I27:J27"/>
    <mergeCell ref="N27:O27"/>
    <mergeCell ref="R27:S27"/>
    <mergeCell ref="X27:Y27"/>
    <mergeCell ref="AH27:AI27"/>
    <mergeCell ref="AN27:AO27"/>
    <mergeCell ref="AT27:AU27"/>
    <mergeCell ref="A26:B26"/>
    <mergeCell ref="C26:E26"/>
    <mergeCell ref="G26:H26"/>
    <mergeCell ref="I26:J26"/>
    <mergeCell ref="N26:O26"/>
    <mergeCell ref="R26:S26"/>
    <mergeCell ref="X26:Y26"/>
    <mergeCell ref="AH26:AI26"/>
    <mergeCell ref="AN26:AO26"/>
    <mergeCell ref="AT24:AU24"/>
    <mergeCell ref="A25:B25"/>
    <mergeCell ref="C25:E25"/>
    <mergeCell ref="G25:H25"/>
    <mergeCell ref="I25:J25"/>
    <mergeCell ref="N25:O25"/>
    <mergeCell ref="R25:S25"/>
    <mergeCell ref="X25:Y25"/>
    <mergeCell ref="AH25:AI25"/>
    <mergeCell ref="AN25:AO25"/>
    <mergeCell ref="AT25:AU25"/>
    <mergeCell ref="A24:B24"/>
    <mergeCell ref="C24:E24"/>
    <mergeCell ref="G24:H24"/>
    <mergeCell ref="I24:J24"/>
    <mergeCell ref="N24:O24"/>
    <mergeCell ref="R24:S24"/>
    <mergeCell ref="X24:Y24"/>
    <mergeCell ref="AH24:AI24"/>
    <mergeCell ref="AN24:AO24"/>
    <mergeCell ref="AT22:AU22"/>
    <mergeCell ref="A23:B23"/>
    <mergeCell ref="C23:E23"/>
    <mergeCell ref="G23:H23"/>
    <mergeCell ref="I23:J23"/>
    <mergeCell ref="N23:O23"/>
    <mergeCell ref="R23:S23"/>
    <mergeCell ref="X23:Y23"/>
    <mergeCell ref="AH23:AI23"/>
    <mergeCell ref="AN23:AO23"/>
    <mergeCell ref="AT23:AU23"/>
    <mergeCell ref="A22:B22"/>
    <mergeCell ref="C22:E22"/>
    <mergeCell ref="G22:H22"/>
    <mergeCell ref="I22:J22"/>
    <mergeCell ref="N22:O22"/>
    <mergeCell ref="R22:S22"/>
    <mergeCell ref="X22:Y22"/>
    <mergeCell ref="AH22:AI22"/>
    <mergeCell ref="AN22:AO22"/>
    <mergeCell ref="AT20:AU20"/>
    <mergeCell ref="A21:B21"/>
    <mergeCell ref="C21:E21"/>
    <mergeCell ref="G21:H21"/>
    <mergeCell ref="I21:J21"/>
    <mergeCell ref="N21:O21"/>
    <mergeCell ref="R21:S21"/>
    <mergeCell ref="X21:Y21"/>
    <mergeCell ref="AH21:AI21"/>
    <mergeCell ref="AN21:AO21"/>
    <mergeCell ref="AT21:AU21"/>
    <mergeCell ref="A20:B20"/>
    <mergeCell ref="C20:E20"/>
    <mergeCell ref="G20:H20"/>
    <mergeCell ref="I20:J20"/>
    <mergeCell ref="N20:O20"/>
    <mergeCell ref="R20:S20"/>
    <mergeCell ref="X20:Y20"/>
    <mergeCell ref="AH20:AI20"/>
    <mergeCell ref="AN20:AO20"/>
    <mergeCell ref="AT18:AU18"/>
    <mergeCell ref="A19:B19"/>
    <mergeCell ref="C19:E19"/>
    <mergeCell ref="G19:H19"/>
    <mergeCell ref="I19:J19"/>
    <mergeCell ref="N19:O19"/>
    <mergeCell ref="R19:S19"/>
    <mergeCell ref="X19:Y19"/>
    <mergeCell ref="AH19:AI19"/>
    <mergeCell ref="AN19:AO19"/>
    <mergeCell ref="AT19:AU19"/>
    <mergeCell ref="A18:B18"/>
    <mergeCell ref="C18:E18"/>
    <mergeCell ref="G18:H18"/>
    <mergeCell ref="I18:J18"/>
    <mergeCell ref="N18:O18"/>
    <mergeCell ref="R18:S18"/>
    <mergeCell ref="X18:Y18"/>
    <mergeCell ref="AH18:AI18"/>
    <mergeCell ref="AN18:AO18"/>
    <mergeCell ref="AT16:AU16"/>
    <mergeCell ref="A17:B17"/>
    <mergeCell ref="C17:E17"/>
    <mergeCell ref="G17:H17"/>
    <mergeCell ref="I17:J17"/>
    <mergeCell ref="N17:O17"/>
    <mergeCell ref="R17:S17"/>
    <mergeCell ref="X17:Y17"/>
    <mergeCell ref="AH17:AI17"/>
    <mergeCell ref="AN17:AO17"/>
    <mergeCell ref="AT17:AU17"/>
    <mergeCell ref="A16:B16"/>
    <mergeCell ref="C16:E16"/>
    <mergeCell ref="G16:H16"/>
    <mergeCell ref="I16:J16"/>
    <mergeCell ref="N16:O16"/>
    <mergeCell ref="R16:S16"/>
    <mergeCell ref="X16:Y16"/>
    <mergeCell ref="AH16:AI16"/>
    <mergeCell ref="AN16:AO16"/>
    <mergeCell ref="AT14:AU14"/>
    <mergeCell ref="A15:B15"/>
    <mergeCell ref="C15:E15"/>
    <mergeCell ref="G15:H15"/>
    <mergeCell ref="I15:J15"/>
    <mergeCell ref="N15:O15"/>
    <mergeCell ref="R15:S15"/>
    <mergeCell ref="X15:Y15"/>
    <mergeCell ref="AH15:AI15"/>
    <mergeCell ref="AN15:AO15"/>
    <mergeCell ref="AT15:AU15"/>
    <mergeCell ref="A14:B14"/>
    <mergeCell ref="C14:E14"/>
    <mergeCell ref="G14:H14"/>
    <mergeCell ref="I14:J14"/>
    <mergeCell ref="N14:O14"/>
    <mergeCell ref="R14:S14"/>
    <mergeCell ref="X14:Y14"/>
    <mergeCell ref="AH14:AI14"/>
    <mergeCell ref="AN14:AO14"/>
    <mergeCell ref="A11:B11"/>
    <mergeCell ref="C11:E11"/>
    <mergeCell ref="G11:H11"/>
    <mergeCell ref="I11:J11"/>
    <mergeCell ref="K11:AU11"/>
    <mergeCell ref="A13:B13"/>
    <mergeCell ref="C13:E13"/>
    <mergeCell ref="G13:H13"/>
    <mergeCell ref="I13:J13"/>
    <mergeCell ref="N13:O13"/>
    <mergeCell ref="R13:S13"/>
    <mergeCell ref="X13:Y13"/>
    <mergeCell ref="AH13:AI13"/>
    <mergeCell ref="AN13:AO13"/>
    <mergeCell ref="AT13:AU13"/>
    <mergeCell ref="A8:B8"/>
    <mergeCell ref="R8:X8"/>
    <mergeCell ref="E8:Q8"/>
    <mergeCell ref="Y8:AU8"/>
    <mergeCell ref="A9:B9"/>
    <mergeCell ref="R9:X9"/>
    <mergeCell ref="E9:Q9"/>
    <mergeCell ref="Y9:AU9"/>
    <mergeCell ref="A10:B10"/>
    <mergeCell ref="R10:X10"/>
    <mergeCell ref="E10:Q10"/>
    <mergeCell ref="Y10:AU10"/>
    <mergeCell ref="B6:G6"/>
    <mergeCell ref="H6:I6"/>
    <mergeCell ref="J6:N6"/>
    <mergeCell ref="O6:U6"/>
    <mergeCell ref="V6:AB6"/>
    <mergeCell ref="AC6:AH6"/>
    <mergeCell ref="AI6:AN6"/>
    <mergeCell ref="AO6:AT6"/>
    <mergeCell ref="A7:AV7"/>
    <mergeCell ref="A1:A4"/>
    <mergeCell ref="B1:G1"/>
    <mergeCell ref="H1:I4"/>
    <mergeCell ref="J1:AT4"/>
    <mergeCell ref="B5:G5"/>
    <mergeCell ref="H5:I5"/>
    <mergeCell ref="J5:N5"/>
    <mergeCell ref="O5:U5"/>
    <mergeCell ref="V5:AB5"/>
    <mergeCell ref="AC5:AH5"/>
    <mergeCell ref="AI5:AN5"/>
    <mergeCell ref="AO5:AT5"/>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Resumen de exportación</vt:lpstr>
      <vt:lpstr>Asistencia</vt:lpstr>
      <vt:lpstr>Parcial-1</vt:lpstr>
      <vt:lpstr>Parcial-2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Sebastian Astiazaran Lopez</cp:lastModifiedBy>
  <dcterms:modified xsi:type="dcterms:W3CDTF">2026-04-30T22:14:00Z</dcterms:modified>
</cp:coreProperties>
</file>